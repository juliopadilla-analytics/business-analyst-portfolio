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ca3ed88b6346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rollment Summary" sheetId="1" r:id="Rb0e5a9d23a7a4497"/>
    <x:sheet xmlns:r="http://schemas.openxmlformats.org/officeDocument/2006/relationships" name="Enrollments" sheetId="2" r:id="R9963faf8e3654450"/>
    <x:sheet xmlns:r="http://schemas.openxmlformats.org/officeDocument/2006/relationships" name="Premium Lookup" sheetId="3" r:id="R1d68e9b09a804bce"/>
  </x:sheets>
</x:workbook>
</file>

<file path=xl/sharedStrings.xml><?xml version="1.0" encoding="utf-8"?>
<x:sst xmlns:x="http://schemas.openxmlformats.org/spreadsheetml/2006/main">
  <x:si>
    <x:t xml:space="preserve">Employee Name</x:t>
  </x:si>
  <x:si>
    <x:t xml:space="preserve">Plan Type</x:t>
  </x:si>
  <x:si>
    <x:t xml:space="preserve">Coverage Tier</x:t>
  </x:si>
  <x:si>
    <x:t xml:space="preserve">Premium Total</x:t>
  </x:si>
  <x:si>
    <x:t xml:space="preserve">Employee Pays</x:t>
  </x:si>
  <x:si>
    <x:t xml:space="preserve">Health</x:t>
  </x:si>
  <x:si>
    <x:t xml:space="preserve">Employee + Spouse</x:t>
  </x:si>
  <x:si>
    <x:t xml:space="preserve">Dental</x:t>
  </x:si>
  <x:si>
    <x:t xml:space="preserve">Vision</x:t>
  </x:si>
  <x:si>
    <x:t xml:space="preserve">Employee + Children</x:t>
  </x:si>
  <x:si>
    <x:t xml:space="preserve">Employee + Family</x:t>
  </x:si>
  <x:si>
    <x:t xml:space="preserve">Employee</x:t>
  </x:si>
  <x:si>
    <x:t xml:space="preserve">Combined</x:t>
  </x:si>
</x:sst>
</file>

<file path=xl/styles.xml><?xml version="1.0" encoding="utf-8"?>
<x:styleSheet xmlns:x="http://schemas.openxmlformats.org/spreadsheetml/2006/main">
  <x:numFmts count="2">
    <x:numFmt numFmtId="164" formatCode="&quot;$&quot;#,##0.00"/>
    <x:numFmt numFmtId="165" formatCode="\$#,##0.00"/>
  </x:numFmts>
  <x:fonts count="7">
    <x:font>
      <x:sz val="11"/>
      <x:color theme="1"/>
      <x:name val="Calibri"/>
    </x:font>
    <x:font>
      <x:b/>
      <x:sz val="11"/>
      <x:color rgb="FFFFFFFF"/>
      <x:name val="Calibri"/>
    </x:font>
    <x:font>
      <x:sz val="11"/>
      <x:color theme="1"/>
      <x:name val="Calibri"/>
    </x:font>
    <x:font>
      <x:sz val="11"/>
      <x:color theme="0"/>
      <x:name val="Calibri"/>
    </x:font>
    <x:font>
      <x:sz val="11"/>
      <x:color rgb="FF111827"/>
      <x:name val="Calibri"/>
    </x:font>
    <x:font>
      <x:b/>
      <x:sz val="11"/>
      <x:color rgb="FF111827"/>
      <x:name val="Calibri"/>
    </x:font>
    <x:font>
      <x:b/>
      <x:sz val="11"/>
      <x:color rgb="FFFA7D00"/>
      <x:name val="Calibri"/>
    </x:font>
  </x:fonts>
  <x:fills count="14">
    <x:fill>
      <x:patternFill patternType="none"/>
    </x:fill>
    <x:fill>
      <x:patternFill patternType="gray125"/>
    </x:fill>
    <x:fill>
      <x:patternFill patternType="solid">
        <x:fgColor rgb="FF333333"/>
      </x:patternFill>
    </x:fill>
    <x:fill>
      <x:patternFill patternType="solid">
        <x:fgColor rgb="FFF9F9F9"/>
      </x:patternFill>
    </x:fill>
    <x:fill>
      <x:patternFill patternType="solid">
        <x:fgColor rgb="FFFFFFFF"/>
      </x:patternFill>
    </x:fill>
    <x:fill>
      <x:patternFill patternType="solid">
        <x:fgColor rgb="FF1F2937"/>
      </x:patternFill>
    </x:fill>
    <x:fill>
      <x:patternFill patternType="solid">
        <x:fgColor theme="4"/>
      </x:patternFill>
    </x:fill>
    <x:fill>
      <x:patternFill patternType="solid">
        <x:fgColor theme="0"/>
      </x:patternFill>
    </x:fill>
    <x:fill>
      <x:patternFill patternType="solid">
        <x:fgColor rgb="FF1F2937"/>
      </x:patternFill>
    </x:fill>
    <x:fill>
      <x:patternFill patternType="solid">
        <x:fgColor rgb="FFFFFFFF"/>
      </x:patternFill>
    </x:fill>
    <x:fill>
      <x:patternFill patternType="solid">
        <x:fgColor rgb="FF22D3C5"/>
      </x:patternFill>
    </x:fill>
    <x:fill>
      <x:patternFill patternType="solid">
        <x:fgColor rgb="FF1F2937"/>
      </x:patternFill>
    </x:fill>
    <x:fill>
      <x:patternFill patternType="solid">
        <x:fgColor rgb="FF333333"/>
      </x:patternFill>
    </x:fill>
    <x:fill>
      <x:patternFill patternType="solid">
        <x:fgColor rgb="FFF2F2F2"/>
      </x:patternFill>
    </x:fill>
  </x:fills>
  <x:borders count="6">
    <x:border/>
    <x:border>
      <x:left style="thin">
        <x:color rgb="FFD3D3D3"/>
      </x:left>
      <x:right style="thin">
        <x:color rgb="FFD3D3D3"/>
      </x:right>
      <x:top style="thin">
        <x:color rgb="FFD3D3D3"/>
      </x:top>
      <x:bottom style="thin">
        <x:color rgb="FFD3D3D3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3D3D3"/>
      </x:left>
      <x:right style="thin">
        <x:color rgb="FFD3D3D3"/>
      </x:right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</x:borders>
  <x:cellStyleXfs count="3">
    <x:xf numFmtId="0" fontId="0" fillId="0" borderId="0"/>
    <x:xf numFmtId="0" fontId="3" fillId="6" borderId="0" applyNumberFormat="0" applyBorder="0" applyAlignment="0" applyProtection="0"/>
    <x:xf numFmtId="0" fontId="6" fillId="13" borderId="5" applyNumberFormat="0" applyAlignment="0" applyProtection="0"/>
  </x:cellStyleXfs>
  <x:cellXfs count="28">
    <x:xf numFmtId="0" fontId="0" fillId="0" borderId="0" xfId="0"/>
    <x:xf numFmtId="0" fontId="1" fillId="2" borderId="1" xfId="0" applyFont="1" applyFill="1" applyBorder="1" applyAlignment="1">
      <x:alignment horizontal="center" vertical="center"/>
    </x:xf>
    <x:xf numFmtId="0" fontId="0" fillId="3" borderId="1" xfId="0" applyFill="1" applyBorder="1" applyAlignment="1">
      <x:alignment vertical="center"/>
    </x:xf>
    <x:xf numFmtId="0" fontId="0" fillId="4" borderId="1" xfId="0" applyFill="1" applyBorder="1" applyAlignment="1">
      <x:alignment vertical="center"/>
    </x:xf>
    <x:xf numFmtId="0" fontId="1" fillId="5" borderId="0" xfId="0" applyFont="1" applyFill="1" applyAlignment="1">
      <x:alignment horizontal="center" vertical="center"/>
    </x:xf>
    <x:xf numFmtId="0" fontId="0" fillId="0" borderId="2" xfId="0" applyBorder="1" applyAlignment="1">
      <x:alignment horizontal="left" vertical="center"/>
    </x:xf>
    <x:xf numFmtId="0" fontId="0" fillId="0" borderId="2" xfId="0" applyBorder="1" applyAlignment="1">
      <x:alignment horizontal="center" vertical="center"/>
    </x:xf>
    <x:xf numFmtId="0" fontId="1" fillId="2" borderId="3" xfId="0" applyFont="1" applyFill="1" applyBorder="1" applyAlignment="1">
      <x:alignment horizontal="center" vertical="center"/>
    </x:xf>
    <x:xf numFmtId="0" fontId="3" fillId="6" borderId="4" xfId="1" applyBorder="1" applyAlignment="1">
      <x:alignment horizontal="center"/>
    </x:xf>
    <x:xf numFmtId="0" fontId="3" fillId="6" borderId="4" xfId="1" applyBorder="1"/>
    <x:xf numFmtId="0" fontId="2" fillId="7" borderId="4" xfId="1" applyFont="1" applyFill="1" applyBorder="1"/>
    <x:xf numFmtId="164" fontId="2" fillId="7" borderId="4" xfId="1" applyNumberFormat="1" applyFont="1" applyFill="1" applyBorder="1"/>
    <x:xf numFmtId="1" fontId="2" fillId="7" borderId="4" xfId="1" applyNumberFormat="1" applyFont="1" applyFill="1" applyBorder="1"/>
    <x:xf numFmtId="0" fontId="3" fillId="6" borderId="0" xfId="1"/>
    <x:xf numFmtId="165" fontId="2" fillId="7" borderId="4" xfId="1" applyNumberFormat="1" applyFont="1" applyFill="1" applyBorder="1"/>
    <x:xf numFmtId="164" fontId="0" fillId="0" borderId="0" xfId="0" applyNumberFormat="1"/>
    <x:xf numFmtId="0" fontId="1" fillId="8" borderId="2" xfId="0" applyFont="1" applyFill="1" applyBorder="1" applyAlignment="1">
      <x:alignment horizontal="center"/>
    </x:xf>
    <x:xf numFmtId="0" fontId="0" fillId="0" borderId="2" xfId="0" applyBorder="1"/>
    <x:xf numFmtId="164" fontId="0" fillId="0" borderId="2" xfId="0" applyNumberFormat="1" applyBorder="1"/>
    <x:xf numFmtId="0" fontId="4" fillId="9" borderId="2" xfId="0" applyFont="1" applyFill="1" applyBorder="1" applyAlignment="1">
      <x:alignment horizontal="left" vertical="center"/>
    </x:xf>
    <x:xf numFmtId="0" fontId="4" fillId="9" borderId="2" xfId="0" applyFont="1" applyFill="1" applyBorder="1" applyAlignment="1">
      <x:alignment horizontal="center" vertical="center"/>
    </x:xf>
    <x:xf numFmtId="0" fontId="5" fillId="10" borderId="2" xfId="0" applyFont="1" applyFill="1" applyBorder="1"/>
    <x:xf numFmtId="0" fontId="5" fillId="10" borderId="2" xfId="0" applyFont="1" applyFill="1" applyBorder="1" applyAlignment="1">
      <x:alignment horizontal="center"/>
    </x:xf>
    <x:xf numFmtId="0" fontId="1" fillId="11" borderId="2" xfId="0" applyFont="1" applyFill="1" applyBorder="1" applyAlignment="1">
      <x:alignment horizontal="center"/>
    </x:xf>
    <x:xf numFmtId="0" fontId="1" fillId="12" borderId="1" xfId="0" applyFont="1" applyFill="1" applyBorder="1" applyAlignment="1">
      <x:alignment horizontal="center"/>
    </x:xf>
    <x:xf numFmtId="164" fontId="0" fillId="0" borderId="1" xfId="0" applyNumberFormat="1" applyBorder="1" applyAlignment="1">
      <x:alignment horizontal="right"/>
    </x:xf>
    <x:xf numFmtId="164" fontId="6" fillId="13" borderId="5" xfId="2" applyNumberFormat="1"/>
    <x:xf numFmtId="0" fontId="2" fillId="0" borderId="2" xfId="0" applyFont="1" applyBorder="1"/>
  </x:cellXfs>
  <x:cellStyles count="3">
    <x:cellStyle name="Accent1" xfId="1"/>
    <x:cellStyle name="Calculation" xfId="2"/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e705ecce7c45ad" /><Relationship Type="http://schemas.openxmlformats.org/officeDocument/2006/relationships/theme" Target="/xl/theme/theme1.xml" Id="R47d410fb57514554" /><Relationship Type="http://schemas.openxmlformats.org/officeDocument/2006/relationships/sharedStrings" Target="/xl/sharedStrings.xml" Id="R76b2a032d5d54ed0" /><Relationship Type="http://schemas.openxmlformats.org/officeDocument/2006/relationships/worksheet" Target="/xl/worksheets/sheet1.xml" Id="Rb0e5a9d23a7a4497" /><Relationship Type="http://schemas.openxmlformats.org/officeDocument/2006/relationships/worksheet" Target="/xl/worksheets/sheet2.xml" Id="R9963faf8e3654450" /><Relationship Type="http://schemas.openxmlformats.org/officeDocument/2006/relationships/worksheet" Target="/xl/worksheets/sheet3.xml" Id="R1d68e9b09a804bc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5.28515625" customWidth="1"/>
    <x:col min="2" max="2" width="8.28515625" customWidth="1"/>
    <x:col min="3" max="3" width="16.7109375" customWidth="1"/>
    <x:col min="4" max="4" width="15.28515625" customWidth="1"/>
    <x:col min="5" max="5" width="15.85546875" customWidth="1"/>
    <x:col min="6" max="6" width="4.42578125" customWidth="1"/>
  </x:cols>
  <x:sheetData>
    <x:row r="1">
      <x:c r="A1" s="4" t="str">
        <x:v>Benefit Plan</x:v>
      </x:c>
      <x:c r="B1" s="4" t="str">
        <x:v>Employee</x:v>
      </x:c>
      <x:c r="C1" s="4" t="str">
        <x:v>Employee + Children</x:v>
      </x:c>
      <x:c r="D1" s="4" t="str">
        <x:v>Employee + Family</x:v>
      </x:c>
      <x:c r="E1" s="4" t="str">
        <x:v>Employee + Spouse</x:v>
      </x:c>
      <x:c r="F1" s="4" t="str">
        <x:v>Total</x:v>
      </x:c>
    </x:row>
    <x:row r="2">
      <x:c r="A2" s="5" t="str">
        <x:v>Health Plan A</x:v>
      </x:c>
      <x:c r="B2" s="6" t="n">
        <x:f>COUNTIFS(Enrollments!$C$2:$C$96,$A2,Enrollments!$D$2:$D$96,B$1)</x:f>
        <x:v>7</x:v>
      </x:c>
      <x:c r="C2" s="6" t="n">
        <x:f>COUNTIFS(Enrollments!$C$2:$C$96,$A2,Enrollments!$D$2:$D$96,C$1)</x:f>
        <x:v>1</x:v>
      </x:c>
      <x:c r="D2" s="6" t="n">
        <x:f>COUNTIFS(Enrollments!$C$2:$C$96,$A2,Enrollments!$D$2:$D$96,D$1)</x:f>
        <x:v>1</x:v>
      </x:c>
      <x:c r="E2" s="6" t="n">
        <x:f>COUNTIFS(Enrollments!$C$2:$C$96,$A2,Enrollments!$D$2:$D$96,E$1)</x:f>
        <x:v>3</x:v>
      </x:c>
      <x:c r="F2" s="6" t="n">
        <x:f>SUM(B2:E2)</x:f>
        <x:v>12</x:v>
      </x:c>
    </x:row>
    <x:row r="3">
      <x:c r="A3" s="5" t="str">
        <x:v>Health Plan B</x:v>
      </x:c>
      <x:c r="B3" s="6" t="n">
        <x:f>COUNTIFS(Enrollments!$C$2:$C$96,$A3,Enrollments!$D$2:$D$96,B$1)</x:f>
        <x:v>4</x:v>
      </x:c>
      <x:c r="C3" s="6" t="n">
        <x:f>COUNTIFS(Enrollments!$C$2:$C$96,$A3,Enrollments!$D$2:$D$96,C$1)</x:f>
        <x:v>3</x:v>
      </x:c>
      <x:c r="D3" s="6" t="n">
        <x:f>COUNTIFS(Enrollments!$C$2:$C$96,$A3,Enrollments!$D$2:$D$96,D$1)</x:f>
        <x:v>1</x:v>
      </x:c>
      <x:c r="E3" s="6" t="n">
        <x:f>COUNTIFS(Enrollments!$C$2:$C$96,$A3,Enrollments!$D$2:$D$96,E$1)</x:f>
        <x:v>1</x:v>
      </x:c>
      <x:c r="F3" s="6" t="n">
        <x:f>SUM(B3:E3)</x:f>
        <x:v>9</x:v>
      </x:c>
    </x:row>
    <x:row r="4">
      <x:c r="A4" s="5" t="str">
        <x:v>Health Plan A - Project Alpha</x:v>
      </x:c>
      <x:c r="B4" s="6" t="n">
        <x:f>COUNTIFS(Enrollments!$C$2:$C$96,$A4,Enrollments!$D$2:$D$96,B$1)</x:f>
        <x:v>0</x:v>
      </x:c>
      <x:c r="C4" s="6" t="n">
        <x:f>COUNTIFS(Enrollments!$C$2:$C$96,$A4,Enrollments!$D$2:$D$96,C$1)</x:f>
        <x:v>0</x:v>
      </x:c>
      <x:c r="D4" s="6" t="n">
        <x:f>COUNTIFS(Enrollments!$C$2:$C$96,$A4,Enrollments!$D$2:$D$96,D$1)</x:f>
        <x:v>1</x:v>
      </x:c>
      <x:c r="E4" s="6" t="n">
        <x:f>COUNTIFS(Enrollments!$C$2:$C$96,$A4,Enrollments!$D$2:$D$96,E$1)</x:f>
        <x:v>0</x:v>
      </x:c>
      <x:c r="F4" s="6" t="n">
        <x:f>SUM(B4:E4)</x:f>
        <x:v>1</x:v>
      </x:c>
    </x:row>
    <x:row r="5">
      <x:c r="A5" s="5" t="str">
        <x:v>Dental Plan Standard</x:v>
      </x:c>
      <x:c r="B5" s="6" t="n">
        <x:f>COUNTIFS(Enrollments!$C$2:$C$96,$A5,Enrollments!$D$2:$D$96,B$1)</x:f>
        <x:v>16</x:v>
      </x:c>
      <x:c r="C5" s="6" t="n">
        <x:f>COUNTIFS(Enrollments!$C$2:$C$96,$A5,Enrollments!$D$2:$D$96,C$1)</x:f>
        <x:v>3</x:v>
      </x:c>
      <x:c r="D5" s="6" t="n">
        <x:f>COUNTIFS(Enrollments!$C$2:$C$96,$A5,Enrollments!$D$2:$D$96,D$1)</x:f>
        <x:v>11</x:v>
      </x:c>
      <x:c r="E5" s="6" t="n">
        <x:f>COUNTIFS(Enrollments!$C$2:$C$96,$A5,Enrollments!$D$2:$D$96,E$1)</x:f>
        <x:v>8</x:v>
      </x:c>
      <x:c r="F5" s="6" t="n">
        <x:f>SUM(B5:E5)</x:f>
        <x:v>38</x:v>
      </x:c>
    </x:row>
    <x:row r="6">
      <x:c r="A6" s="5" t="str">
        <x:v>Vision Plan Standard</x:v>
      </x:c>
      <x:c r="B6" s="6" t="n">
        <x:f>COUNTIFS(Enrollments!$C$2:$C$96,$A6,Enrollments!$D$2:$D$96,B$1)</x:f>
        <x:v>14</x:v>
      </x:c>
      <x:c r="C6" s="6" t="n">
        <x:f>COUNTIFS(Enrollments!$C$2:$C$96,$A6,Enrollments!$D$2:$D$96,C$1)</x:f>
        <x:v>3</x:v>
      </x:c>
      <x:c r="D6" s="6" t="n">
        <x:f>COUNTIFS(Enrollments!$C$2:$C$96,$A6,Enrollments!$D$2:$D$96,D$1)</x:f>
        <x:v>9</x:v>
      </x:c>
      <x:c r="E6" s="6" t="n">
        <x:f>COUNTIFS(Enrollments!$C$2:$C$96,$A6,Enrollments!$D$2:$D$96,E$1)</x:f>
        <x:v>5</x:v>
      </x:c>
      <x:c r="F6" s="6" t="n">
        <x:f>SUM(B6:E6)</x:f>
        <x:v>31</x:v>
      </x:c>
    </x:row>
    <x:row r="7">
      <x:c r="A7" s="19" t="str">
        <x:v>Project Beta Combined Benefits</x:v>
      </x:c>
      <x:c r="B7" s="20" t="n">
        <x:f>COUNTIFS(Enrollments!$C$2:$C$96,$A7,Enrollments!$D$2:$D$96,B$1)</x:f>
        <x:v>2</x:v>
      </x:c>
      <x:c r="C7" s="20" t="n">
        <x:f>COUNTIFS(Enrollments!$C$2:$C$96,$A7,Enrollments!$D$2:$D$96,C$1)</x:f>
        <x:v>0</x:v>
      </x:c>
      <x:c r="D7" s="20" t="n">
        <x:f>COUNTIFS(Enrollments!$C$2:$C$96,$A7,Enrollments!$D$2:$D$96,D$1)</x:f>
        <x:v>2</x:v>
      </x:c>
      <x:c r="E7" s="20" t="n">
        <x:f>COUNTIFS(Enrollments!$C$2:$C$96,$A7,Enrollments!$D$2:$D$96,E$1)</x:f>
        <x:v>0</x:v>
      </x:c>
      <x:c r="F7" s="20" t="n">
        <x:f>SUM(B7:E7)</x:f>
        <x:v>4</x:v>
      </x:c>
    </x:row>
    <x:row r="8">
      <x:c r="A8" s="21" t="str">
        <x:v>Total</x:v>
      </x:c>
      <x:c r="B8" s="22" t="n">
        <x:f>SUM(B2:B7)</x:f>
        <x:v>43</x:v>
      </x:c>
      <x:c r="C8" s="22" t="n">
        <x:f>SUM(C2:C7)</x:f>
        <x:v>10</x:v>
      </x:c>
      <x:c r="D8" s="22" t="n">
        <x:f>SUM(D2:D7)</x:f>
        <x:v>25</x:v>
      </x:c>
      <x:c r="E8" s="22" t="n">
        <x:f>SUM(E2:E7)</x:f>
        <x:v>17</x:v>
      </x:c>
      <x:c r="F8" s="22" t="n">
        <x:f>SUM(F2:F7)</x:f>
        <x:v>95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0E2D7"/>
  </x:sheetPr>
  <x:sheetFormatPr defaultRowHeight="15"/>
  <x:cols>
    <x:col min="1" max="1" width="24" customWidth="1"/>
    <x:col min="2" max="2" width="12" customWidth="1"/>
    <x:col min="3" max="3" width="44" customWidth="1"/>
    <x:col min="4" max="4" width="22" customWidth="1"/>
    <x:col min="5" max="5" width="18.7109375" customWidth="1"/>
    <x:col min="6" max="7" width="16" customWidth="1"/>
    <x:col min="8" max="8" width="19.5703125" customWidth="1"/>
    <x:col min="9" max="9" width="14.140625" customWidth="1"/>
    <x:col min="10" max="10" width="11.7109375" customWidth="1"/>
    <x:col min="11" max="11" width="16.140625" customWidth="1"/>
  </x:cols>
  <x:sheetData>
    <x:row r="1">
      <x:c r="A1" s="1" t="s">
        <x:v>0</x:v>
      </x:c>
      <x:c r="B1" s="1" t="s">
        <x:v>1</x:v>
      </x:c>
      <x:c r="C1" s="1" t="str">
        <x:v>Benefit Plan</x:v>
      </x:c>
      <x:c r="D1" s="1" t="s">
        <x:v>2</x:v>
      </x:c>
      <x:c r="E1" s="7" t="s">
        <x:v>3</x:v>
      </x:c>
      <x:c r="F1" s="24" t="str">
        <x:v>Employer Pays</x:v>
      </x:c>
      <x:c r="G1" s="24" t="s">
        <x:v>4</x:v>
      </x:c>
      <x:c r="H1"/>
      <x:c r="I1" s="8" t="str">
        <x:v>Health Plan B</x:v>
      </x:c>
      <x:c r="J1" s="9" t="str">
        <x:v>Premium Total</x:v>
      </x:c>
      <x:c r="K1" s="9"/>
      <x:c r="L1" s="9"/>
      <x:c r="M1" s="9"/>
      <x:c r="N1" s="9"/>
      <x:c r="O1" s="9"/>
      <x:c r="P1" s="9"/>
    </x:row>
    <x:row r="2">
      <x:c r="A2" s="2" t="str">
        <x:v>Adams, Avery</x:v>
      </x:c>
      <x:c r="B2" s="2" t="s">
        <x:v>5</x:v>
      </x:c>
      <x:c r="C2" s="2" t="str">
        <x:v>Health Plan A</x:v>
      </x:c>
      <x:c r="D2" s="2" t="s">
        <x:v>6</x:v>
      </x:c>
      <x:c r="E2" s="15">
        <x:v>1093.92</x:v>
      </x:c>
      <x:c r="F2" s="25" t="n">
        <x:f>MIN(E2,MAX(0,'Premium Lookup'!$F$2-SUMIFS($E$1:E1,$A$1:A1,A2)))</x:f>
        <x:v>900</x:v>
      </x:c>
      <x:c r="G2" s="25" t="n">
        <x:f t="shared" ref="G2:G33" si="0">MAX(E2-F2,0)</x:f>
        <x:v>193.92000000000007</x:v>
      </x:c>
      <x:c r="H2"/>
      <x:c r="I2" s="10" t="str">
        <x:v>Employee</x:v>
      </x:c>
      <x:c r="J2" s="11" t="n">
        <x:v>492.26</x:v>
      </x:c>
      <x:c r="K2" s="11"/>
      <x:c r="L2" s="12"/>
      <x:c r="M2" s="11"/>
      <x:c r="N2" s="11"/>
      <x:c r="O2" s="11"/>
      <x:c r="P2" s="11"/>
    </x:row>
    <x:row r="3">
      <x:c r="A3" s="3" t="str">
        <x:v>Adams, Avery</x:v>
      </x:c>
      <x:c r="B3" s="3" t="s">
        <x:v>7</x:v>
      </x:c>
      <x:c r="C3" s="3" t="str">
        <x:v>Dental Plan Standard</x:v>
      </x:c>
      <x:c r="D3" s="3" t="s">
        <x:v>6</x:v>
      </x:c>
      <x:c r="E3" s="15">
        <x:v>79.290000000000006</x:v>
      </x:c>
      <x:c r="F3" s="25" t="n">
        <x:f>MIN(E3,MAX(0,'Premium Lookup'!$F$2-SUMIFS($E$1:E2,$A$1:A2,A3)))</x:f>
        <x:v>0</x:v>
      </x:c>
      <x:c r="G3" s="25" t="n">
        <x:f t="shared" si="0">MAX(E3-F3,0)</x:f>
        <x:v>79.29</x:v>
      </x:c>
      <x:c r="H3"/>
      <x:c r="I3" s="10" t="str">
        <x:v>Emloyee+ Spouse</x:v>
      </x:c>
      <x:c r="J3" s="11" t="n">
        <x:v>990.64</x:v>
      </x:c>
      <x:c r="K3" s="11"/>
      <x:c r="L3" s="12"/>
      <x:c r="M3" s="11"/>
      <x:c r="N3" s="11"/>
      <x:c r="O3" s="11"/>
      <x:c r="P3" s="11"/>
    </x:row>
    <x:row r="4">
      <x:c r="A4" s="2" t="str">
        <x:v>Adams, Avery</x:v>
      </x:c>
      <x:c r="B4" s="2" t="s">
        <x:v>8</x:v>
      </x:c>
      <x:c r="C4" s="2" t="str">
        <x:v>Vision Plan Standard</x:v>
      </x:c>
      <x:c r="D4" s="2" t="s">
        <x:v>6</x:v>
      </x:c>
      <x:c r="E4" s="15">
        <x:v>15.42</x:v>
      </x:c>
      <x:c r="F4" s="25" t="n">
        <x:f>MIN(E4,MAX(0,'Premium Lookup'!$F$2-SUMIFS($E$1:E3,$A$1:A3,A4)))</x:f>
        <x:v>0</x:v>
      </x:c>
      <x:c r="G4" s="25" t="n">
        <x:f t="shared" si="0">MAX(E4-F4,0)</x:f>
        <x:v>15.42</x:v>
      </x:c>
      <x:c r="H4"/>
      <x:c r="I4" s="10" t="str">
        <x:v>Employee + Children</x:v>
      </x:c>
      <x:c r="J4" s="11" t="n">
        <x:v>900.1</x:v>
      </x:c>
      <x:c r="K4" s="11"/>
      <x:c r="L4" s="12"/>
      <x:c r="M4" s="11"/>
      <x:c r="N4" s="11"/>
      <x:c r="O4" s="11"/>
      <x:c r="P4" s="11"/>
    </x:row>
    <x:row r="5">
      <x:c r="A5" s="3" t="str">
        <x:v>Baker, Jordan</x:v>
      </x:c>
      <x:c r="B5" s="3" t="s">
        <x:v>5</x:v>
      </x:c>
      <x:c r="C5" s="3" t="str">
        <x:v>Health Plan A</x:v>
      </x:c>
      <x:c r="D5" s="3" t="s">
        <x:v>9</x:v>
      </x:c>
      <x:c r="E5" s="15">
        <x:v>933.5</x:v>
      </x:c>
      <x:c r="F5" s="25" t="n">
        <x:f>MIN(E5,MAX(0,'Premium Lookup'!$F$2-SUMIFS($E$1:E4,$A$1:A4,A5)))</x:f>
        <x:v>900</x:v>
      </x:c>
      <x:c r="G5" s="25" t="n">
        <x:f t="shared" si="0">MAX(E5-F5,0)</x:f>
        <x:v>33.5</x:v>
      </x:c>
      <x:c r="H5"/>
      <x:c r="I5" s="10" t="str">
        <x:v>Employe+Family</x:v>
      </x:c>
      <x:c r="J5" s="11" t="n">
        <x:v>1398.05</x:v>
      </x:c>
      <x:c r="K5" s="11"/>
      <x:c r="L5" s="12"/>
      <x:c r="M5" s="11"/>
      <x:c r="N5" s="11"/>
      <x:c r="O5" s="11"/>
      <x:c r="P5" s="11"/>
    </x:row>
    <x:row r="6">
      <x:c r="A6" s="2" t="str">
        <x:v>Baker, Jordan</x:v>
      </x:c>
      <x:c r="B6" s="2" t="s">
        <x:v>7</x:v>
      </x:c>
      <x:c r="C6" s="2" t="str">
        <x:v>Dental Plan Standard</x:v>
      </x:c>
      <x:c r="D6" s="2" t="s">
        <x:v>10</x:v>
      </x:c>
      <x:c r="E6" s="15">
        <x:v>164.06</x:v>
      </x:c>
      <x:c r="F6" s="25" t="n">
        <x:f>MIN(E6,MAX(0,'Premium Lookup'!$F$2-SUMIFS($E$1:E5,$A$1:A5,A6)))</x:f>
        <x:v>0</x:v>
      </x:c>
      <x:c r="G6" s="25" t="n">
        <x:f t="shared" si="0">MAX(E6-F6,0)</x:f>
        <x:v>164.06</x:v>
      </x:c>
      <x:c r="H6"/>
      <x:c r="I6" s="10" t="str">
        <x:v>Total</x:v>
      </x:c>
      <x:c r="J6" s="11"/>
      <x:c r="K6" s="11"/>
      <x:c r="L6" s="12"/>
      <x:c r="M6" s="11"/>
      <x:c r="N6" s="11"/>
      <x:c r="O6" s="11"/>
      <x:c r="P6" s="11"/>
    </x:row>
    <x:row r="7">
      <x:c r="A7" s="3" t="str">
        <x:v>Baker, Jordan</x:v>
      </x:c>
      <x:c r="B7" s="3" t="s">
        <x:v>8</x:v>
      </x:c>
      <x:c r="C7" s="3" t="str">
        <x:v>Vision Plan Standard</x:v>
      </x:c>
      <x:c r="D7" s="3" t="s">
        <x:v>10</x:v>
      </x:c>
      <x:c r="E7" s="15">
        <x:v>27.18</x:v>
      </x:c>
      <x:c r="F7" s="25" t="n">
        <x:f>MIN(E7,MAX(0,'Premium Lookup'!$F$2-SUMIFS($E$1:E6,$A$1:A6,A7)))</x:f>
        <x:v>0</x:v>
      </x:c>
      <x:c r="G7" s="25" t="n">
        <x:f t="shared" si="0">MAX(E7-F7,0)</x:f>
        <x:v>27.18</x:v>
      </x:c>
      <x:c r="H7"/>
      <x:c r="I7" s="13"/>
      <x:c r="J7" s="13"/>
      <x:c r="K7" s="13"/>
      <x:c r="L7" s="13"/>
      <x:c r="M7" s="13"/>
      <x:c r="N7" s="13"/>
      <x:c r="O7" s="13"/>
      <x:c r="P7" s="13"/>
    </x:row>
    <x:row r="8">
      <x:c r="A8" s="2" t="str">
        <x:v>Carter, Morgan</x:v>
      </x:c>
      <x:c r="B8" s="2" t="s">
        <x:v>5</x:v>
      </x:c>
      <x:c r="C8" s="2" t="str">
        <x:v>Health Plan B</x:v>
      </x:c>
      <x:c r="D8" s="2" t="s">
        <x:v>11</x:v>
      </x:c>
      <x:c r="E8" s="15">
        <x:v>492.26</x:v>
      </x:c>
      <x:c r="F8" s="25" t="n">
        <x:f>MIN(E8,MAX(0,'Premium Lookup'!$F$2-SUMIFS($E$1:E7,$A$1:A7,A8)))</x:f>
        <x:v>492.26</x:v>
      </x:c>
      <x:c r="G8" s="25" t="n">
        <x:f t="shared" si="0">MAX(E8-F8,0)</x:f>
        <x:v>0</x:v>
      </x:c>
      <x:c r="H8"/>
      <x:c r="I8" s="8" t="str">
        <x:v>Dental Plan Standard</x:v>
      </x:c>
      <x:c r="J8" s="9" t="str">
        <x:v>Premium Total</x:v>
      </x:c>
      <x:c r="K8" s="9"/>
      <x:c r="L8" s="9"/>
      <x:c r="M8" s="9"/>
      <x:c r="N8" s="9"/>
      <x:c r="O8" s="9"/>
    </x:row>
    <x:row r="9">
      <x:c r="A9" s="3" t="str">
        <x:v>Carter, Morgan</x:v>
      </x:c>
      <x:c r="B9" s="3" t="s">
        <x:v>7</x:v>
      </x:c>
      <x:c r="C9" s="3" t="str">
        <x:v>Dental Plan Standard</x:v>
      </x:c>
      <x:c r="D9" s="3" t="s">
        <x:v>11</x:v>
      </x:c>
      <x:c r="E9" s="15">
        <x:v>39.76</x:v>
      </x:c>
      <x:c r="F9" s="25" t="n">
        <x:f>MIN(E9,MAX(0,'Premium Lookup'!$F$2-SUMIFS($E$1:E8,$A$1:A8,A9)))</x:f>
        <x:v>39.76</x:v>
      </x:c>
      <x:c r="G9" s="25" t="n">
        <x:f t="shared" si="0">MAX(E9-F9,0)</x:f>
        <x:v>0</x:v>
      </x:c>
      <x:c r="H9"/>
      <x:c r="I9" s="10" t="str">
        <x:v>Employee</x:v>
      </x:c>
      <x:c r="J9" s="11" t="n">
        <x:v>39.76</x:v>
      </x:c>
      <x:c r="K9" s="12"/>
      <x:c r="L9" s="11"/>
      <x:c r="M9" s="11"/>
      <x:c r="N9" s="11"/>
      <x:c r="O9" s="11"/>
    </x:row>
    <x:row r="10">
      <x:c r="A10" s="2" t="str">
        <x:v>Carter, Morgan</x:v>
      </x:c>
      <x:c r="B10" s="2" t="s">
        <x:v>8</x:v>
      </x:c>
      <x:c r="C10" s="2" t="str">
        <x:v>Vision Plan Standard</x:v>
      </x:c>
      <x:c r="D10" s="2" t="s">
        <x:v>11</x:v>
      </x:c>
      <x:c r="E10" s="15">
        <x:v>7.71</x:v>
      </x:c>
      <x:c r="F10" s="25" t="n">
        <x:f>MIN(E10,MAX(0,'Premium Lookup'!$F$2-SUMIFS($E$1:E9,$A$1:A9,A10)))</x:f>
        <x:v>7.71</x:v>
      </x:c>
      <x:c r="G10" s="25" t="n">
        <x:f t="shared" si="0">MAX(E10-F10,0)</x:f>
        <x:v>0</x:v>
      </x:c>
      <x:c r="H10"/>
      <x:c r="I10" s="10" t="str">
        <x:v>Emloyee+ Spouse</x:v>
      </x:c>
      <x:c r="J10" s="11" t="n">
        <x:v>79.29</x:v>
      </x:c>
      <x:c r="K10" s="12"/>
      <x:c r="L10" s="11"/>
      <x:c r="M10" s="11"/>
      <x:c r="N10" s="11"/>
      <x:c r="O10" s="11"/>
    </x:row>
    <x:row r="11">
      <x:c r="A11" s="3" t="str">
        <x:v>Diaz, Riley</x:v>
      </x:c>
      <x:c r="B11" s="3" t="s">
        <x:v>7</x:v>
      </x:c>
      <x:c r="C11" s="3" t="str">
        <x:v>Dental Plan Standard</x:v>
      </x:c>
      <x:c r="D11" s="3" t="s">
        <x:v>6</x:v>
      </x:c>
      <x:c r="E11" s="15">
        <x:v>79.290000000000006</x:v>
      </x:c>
      <x:c r="F11" s="25" t="n">
        <x:f>MIN(E11,MAX(0,'Premium Lookup'!$F$2-SUMIFS($E$1:E10,$A$1:A10,A11)))</x:f>
        <x:v>79.29</x:v>
      </x:c>
      <x:c r="G11" s="25" t="n">
        <x:f t="shared" si="0">MAX(E11-F11,0)</x:f>
        <x:v>0</x:v>
      </x:c>
      <x:c r="H11"/>
      <x:c r="I11" s="10" t="str">
        <x:v>Employee + Children</x:v>
      </x:c>
      <x:c r="J11" s="11" t="n">
        <x:v>106.06</x:v>
      </x:c>
      <x:c r="K11" s="12"/>
      <x:c r="L11" s="11"/>
      <x:c r="M11" s="11"/>
      <x:c r="N11" s="11"/>
      <x:c r="O11" s="11"/>
    </x:row>
    <x:row r="12">
      <x:c r="A12" s="2" t="str">
        <x:v>Evans, Cameron</x:v>
      </x:c>
      <x:c r="B12" s="2" t="s">
        <x:v>7</x:v>
      </x:c>
      <x:c r="C12" s="2" t="str">
        <x:v>Dental Plan Standard</x:v>
      </x:c>
      <x:c r="D12" s="2" t="s">
        <x:v>6</x:v>
      </x:c>
      <x:c r="E12" s="15">
        <x:v>79.290000000000006</x:v>
      </x:c>
      <x:c r="F12" s="25" t="n">
        <x:f>MIN(E12,MAX(0,'Premium Lookup'!$F$2-SUMIFS($E$1:E11,$A$1:A11,A12)))</x:f>
        <x:v>79.29</x:v>
      </x:c>
      <x:c r="G12" s="25" t="n">
        <x:f t="shared" si="0">MAX(E12-F12,0)</x:f>
        <x:v>0</x:v>
      </x:c>
      <x:c r="H12"/>
      <x:c r="I12" s="10" t="str">
        <x:v>Employe+Family</x:v>
      </x:c>
      <x:c r="J12" s="11" t="n">
        <x:v>164.06</x:v>
      </x:c>
      <x:c r="K12" s="12"/>
      <x:c r="L12" s="11"/>
      <x:c r="M12" s="11"/>
      <x:c r="N12" s="11"/>
      <x:c r="O12" s="11"/>
    </x:row>
    <x:row r="13">
      <x:c r="A13" s="3" t="str">
        <x:v>Foster, Taylor</x:v>
      </x:c>
      <x:c r="B13" s="3" t="s">
        <x:v>5</x:v>
      </x:c>
      <x:c r="C13" s="3" t="str">
        <x:v>Health Plan B</x:v>
      </x:c>
      <x:c r="D13" s="3" t="s">
        <x:v>9</x:v>
      </x:c>
      <x:c r="E13" s="15">
        <x:v>900.1</x:v>
      </x:c>
      <x:c r="F13" s="25" t="n">
        <x:f>MIN(E13,MAX(0,'Premium Lookup'!$F$2-SUMIFS($E$1:E12,$A$1:A12,A13)))</x:f>
        <x:v>900</x:v>
      </x:c>
      <x:c r="G13" s="25" t="n">
        <x:f t="shared" si="0">MAX(E13-F13,0)</x:f>
        <x:v>0.10000000000002274</x:v>
      </x:c>
      <x:c r="H13"/>
      <x:c r="I13" s="10" t="str">
        <x:v>Total</x:v>
      </x:c>
      <x:c r="J13" s="11"/>
      <x:c r="K13" s="12"/>
      <x:c r="L13" s="11"/>
      <x:c r="M13" s="11"/>
      <x:c r="N13" s="11"/>
      <x:c r="O13" s="11"/>
    </x:row>
    <x:row r="14">
      <x:c r="A14" s="2" t="str">
        <x:v>Foster, Taylor</x:v>
      </x:c>
      <x:c r="B14" s="2" t="s">
        <x:v>7</x:v>
      </x:c>
      <x:c r="C14" s="2" t="str">
        <x:v>Dental Plan Standard</x:v>
      </x:c>
      <x:c r="D14" s="2" t="s">
        <x:v>9</x:v>
      </x:c>
      <x:c r="E14" s="15">
        <x:v>106.06</x:v>
      </x:c>
      <x:c r="F14" s="25" t="n">
        <x:f>MIN(E14,MAX(0,'Premium Lookup'!$F$2-SUMIFS($E$1:E13,$A$1:A13,A14)))</x:f>
        <x:v>0</x:v>
      </x:c>
      <x:c r="G14" s="25" t="n">
        <x:f t="shared" si="0">MAX(E14-F14,0)</x:f>
        <x:v>106.06</x:v>
      </x:c>
      <x:c r="H14"/>
      <x:c r="I14" s="13"/>
      <x:c r="J14" s="13"/>
      <x:c r="K14" s="13"/>
      <x:c r="L14" s="13"/>
      <x:c r="M14" s="13"/>
      <x:c r="N14" s="13"/>
      <x:c r="O14" s="13"/>
    </x:row>
    <x:row r="15">
      <x:c r="A15" s="3" t="str">
        <x:v>Foster, Taylor</x:v>
      </x:c>
      <x:c r="B15" s="3" t="s">
        <x:v>8</x:v>
      </x:c>
      <x:c r="C15" s="3" t="str">
        <x:v>Vision Plan Standard</x:v>
      </x:c>
      <x:c r="D15" s="3" t="s">
        <x:v>9</x:v>
      </x:c>
      <x:c r="E15" s="15">
        <x:v>17.43</x:v>
      </x:c>
      <x:c r="F15" s="25" t="n">
        <x:f>MIN(E15,MAX(0,'Premium Lookup'!$F$2-SUMIFS($E$1:E14,$A$1:A14,A15)))</x:f>
        <x:v>0</x:v>
      </x:c>
      <x:c r="G15" s="25" t="n">
        <x:f t="shared" si="0">MAX(E15-F15,0)</x:f>
        <x:v>17.43</x:v>
      </x:c>
      <x:c r="H15"/>
      <x:c r="I15" s="8" t="str">
        <x:v>Vision Plan Standard</x:v>
      </x:c>
      <x:c r="J15" s="9" t="str">
        <x:v>Premium Total</x:v>
      </x:c>
      <x:c r="K15" s="9"/>
      <x:c r="L15" s="9"/>
      <x:c r="M15" s="9"/>
      <x:c r="N15" s="9"/>
      <x:c r="O15" s="9"/>
    </x:row>
    <x:row r="16">
      <x:c r="A16" s="2" t="str">
        <x:v>Garcia, Casey</x:v>
      </x:c>
      <x:c r="B16" s="2" t="s">
        <x:v>5</x:v>
      </x:c>
      <x:c r="C16" s="2" t="str">
        <x:v>Health Plan B</x:v>
      </x:c>
      <x:c r="D16" s="2" t="s">
        <x:v>11</x:v>
      </x:c>
      <x:c r="E16" s="15">
        <x:v>492.26</x:v>
      </x:c>
      <x:c r="F16" s="25" t="n">
        <x:f>MIN(E16,MAX(0,'Premium Lookup'!$F$2-SUMIFS($E$1:E15,$A$1:A15,A16)))</x:f>
        <x:v>492.26</x:v>
      </x:c>
      <x:c r="G16" s="25" t="n">
        <x:f t="shared" si="0">MAX(E16-F16,0)</x:f>
        <x:v>0</x:v>
      </x:c>
      <x:c r="H16"/>
      <x:c r="I16" s="10" t="str">
        <x:v>Employee</x:v>
      </x:c>
      <x:c r="J16" s="14" t="n">
        <x:v>7.71</x:v>
      </x:c>
      <x:c r="K16" s="10"/>
      <x:c r="L16" s="11"/>
      <x:c r="M16" s="11"/>
      <x:c r="N16" s="11"/>
      <x:c r="O16" s="11"/>
    </x:row>
    <x:row r="17">
      <x:c r="A17" s="3" t="str">
        <x:v>Garcia, Casey</x:v>
      </x:c>
      <x:c r="B17" s="3" t="s">
        <x:v>7</x:v>
      </x:c>
      <x:c r="C17" s="3" t="str">
        <x:v>Dental Plan Standard</x:v>
      </x:c>
      <x:c r="D17" s="3" t="s">
        <x:v>11</x:v>
      </x:c>
      <x:c r="E17" s="15">
        <x:v>39.76</x:v>
      </x:c>
      <x:c r="F17" s="25" t="n">
        <x:f>MIN(E17,MAX(0,'Premium Lookup'!$F$2-SUMIFS($E$1:E16,$A$1:A16,A17)))</x:f>
        <x:v>39.76</x:v>
      </x:c>
      <x:c r="G17" s="25" t="n">
        <x:f t="shared" si="0">MAX(E17-F17,0)</x:f>
        <x:v>0</x:v>
      </x:c>
      <x:c r="H17"/>
      <x:c r="I17" s="10" t="str">
        <x:v>Emloyee+ Spouse</x:v>
      </x:c>
      <x:c r="J17" s="14" t="n">
        <x:v>15.42</x:v>
      </x:c>
      <x:c r="K17" s="10"/>
      <x:c r="L17" s="11"/>
      <x:c r="M17" s="11"/>
      <x:c r="N17" s="11"/>
      <x:c r="O17" s="11"/>
    </x:row>
    <x:row r="18">
      <x:c r="A18" s="2" t="str">
        <x:v>Garcia, Casey</x:v>
      </x:c>
      <x:c r="B18" s="2" t="s">
        <x:v>8</x:v>
      </x:c>
      <x:c r="C18" s="2" t="str">
        <x:v>Vision Plan Standard</x:v>
      </x:c>
      <x:c r="D18" s="2" t="s">
        <x:v>11</x:v>
      </x:c>
      <x:c r="E18" s="15">
        <x:v>7.71</x:v>
      </x:c>
      <x:c r="F18" s="25" t="n">
        <x:f>MIN(E18,MAX(0,'Premium Lookup'!$F$2-SUMIFS($E$1:E17,$A$1:A17,A18)))</x:f>
        <x:v>7.71</x:v>
      </x:c>
      <x:c r="G18" s="25" t="n">
        <x:f t="shared" si="0">MAX(E18-F18,0)</x:f>
        <x:v>0</x:v>
      </x:c>
      <x:c r="H18"/>
      <x:c r="I18" s="10" t="str">
        <x:v>Employee + Children</x:v>
      </x:c>
      <x:c r="J18" s="14" t="n">
        <x:v>17.43</x:v>
      </x:c>
      <x:c r="K18" s="10"/>
      <x:c r="L18" s="11"/>
      <x:c r="M18" s="11"/>
      <x:c r="N18" s="11"/>
      <x:c r="O18" s="11"/>
    </x:row>
    <x:row r="19">
      <x:c r="A19" s="3" t="str">
        <x:v>Hayes, Parker</x:v>
      </x:c>
      <x:c r="B19" s="3" t="s">
        <x:v>5</x:v>
      </x:c>
      <x:c r="C19" s="3" t="str">
        <x:v>Health Plan A</x:v>
      </x:c>
      <x:c r="D19" s="3" t="s">
        <x:v>11</x:v>
      </x:c>
      <x:c r="E19" s="15">
        <x:v>541.86</x:v>
      </x:c>
      <x:c r="F19" s="25" t="n">
        <x:f>MIN(E19,MAX(0,'Premium Lookup'!$F$2-SUMIFS($E$1:E18,$A$1:A18,A19)))</x:f>
        <x:v>541.86</x:v>
      </x:c>
      <x:c r="G19" s="25" t="n">
        <x:f t="shared" si="0">MAX(E19-F19,0)</x:f>
        <x:v>0</x:v>
      </x:c>
      <x:c r="H19"/>
      <x:c r="I19" s="10" t="str">
        <x:v>Employe+Family</x:v>
      </x:c>
      <x:c r="J19" s="14" t="n">
        <x:v>27.18</x:v>
      </x:c>
      <x:c r="K19" s="10"/>
      <x:c r="L19" s="11"/>
      <x:c r="M19" s="11"/>
      <x:c r="N19" s="11"/>
      <x:c r="O19" s="11"/>
    </x:row>
    <x:row r="20">
      <x:c r="A20" s="2" t="str">
        <x:v>Hayes, Parker</x:v>
      </x:c>
      <x:c r="B20" s="2" t="s">
        <x:v>7</x:v>
      </x:c>
      <x:c r="C20" s="2" t="str">
        <x:v>Dental Plan Standard</x:v>
      </x:c>
      <x:c r="D20" s="2" t="s">
        <x:v>11</x:v>
      </x:c>
      <x:c r="E20" s="15">
        <x:v>39.76</x:v>
      </x:c>
      <x:c r="F20" s="25" t="n">
        <x:f>MIN(E20,MAX(0,'Premium Lookup'!$F$2-SUMIFS($E$1:E19,$A$1:A19,A20)))</x:f>
        <x:v>39.76</x:v>
      </x:c>
      <x:c r="G20" s="25" t="n">
        <x:f t="shared" si="0">MAX(E20-F20,0)</x:f>
        <x:v>0</x:v>
      </x:c>
      <x:c r="H20"/>
      <x:c r="I20" s="10" t="str">
        <x:v>Total</x:v>
      </x:c>
      <x:c r="J20" s="14"/>
      <x:c r="K20" s="12"/>
      <x:c r="L20" s="11"/>
      <x:c r="M20" s="11"/>
      <x:c r="N20" s="11"/>
      <x:c r="O20" s="11"/>
    </x:row>
    <x:row r="21">
      <x:c r="A21" s="3" t="str">
        <x:v>Hayes, Parker</x:v>
      </x:c>
      <x:c r="B21" s="3" t="s">
        <x:v>8</x:v>
      </x:c>
      <x:c r="C21" s="3" t="str">
        <x:v>Vision Plan Standard</x:v>
      </x:c>
      <x:c r="D21" s="3" t="s">
        <x:v>11</x:v>
      </x:c>
      <x:c r="E21" s="15">
        <x:v>7.71</x:v>
      </x:c>
      <x:c r="F21" s="25" t="n">
        <x:f>MIN(E21,MAX(0,'Premium Lookup'!$F$2-SUMIFS($E$1:E20,$A$1:A20,A21)))</x:f>
        <x:v>7.71</x:v>
      </x:c>
      <x:c r="G21" s="25" t="n">
        <x:f t="shared" si="0">MAX(E21-F21,0)</x:f>
        <x:v>0</x:v>
      </x:c>
      <x:c r="H21"/>
      <x:c r="I21" s="13"/>
      <x:c r="J21" s="13"/>
      <x:c r="K21" s="13"/>
      <x:c r="L21" s="13"/>
      <x:c r="M21" s="13"/>
      <x:c r="N21" s="13"/>
      <x:c r="O21" s="13"/>
      <x:c r="P21" s="13"/>
    </x:row>
    <x:row r="22">
      <x:c r="A22" s="2" t="str">
        <x:v>Irwin, Quinn</x:v>
      </x:c>
      <x:c r="B22" s="2" t="s">
        <x:v>12</x:v>
      </x:c>
      <x:c r="C22" s="2" t="str">
        <x:v>Project Beta Combined Benefits</x:v>
      </x:c>
      <x:c r="D22" s="2" t="s">
        <x:v>10</x:v>
      </x:c>
      <x:c r="E22" s="15">
        <x:v>2470</x:v>
      </x:c>
      <x:c r="F22" s="25" t="n">
        <x:f>MIN(E22,MAX(0,'Premium Lookup'!$F$2-SUMIFS($E$1:E21,$A$1:A21,A22)))</x:f>
        <x:v>900</x:v>
      </x:c>
      <x:c r="G22" s="25" t="n">
        <x:f t="shared" si="0">MAX(E22-F22,0)</x:f>
        <x:v>1570</x:v>
      </x:c>
      <x:c r="H22"/>
      <x:c r="I22" s="8" t="str">
        <x:v>Health Plan A</x:v>
      </x:c>
      <x:c r="J22" s="9" t="str">
        <x:v>Premium Total</x:v>
      </x:c>
      <x:c r="K22" s="9"/>
      <x:c r="L22" s="9"/>
      <x:c r="M22" s="9"/>
      <x:c r="N22" s="9"/>
      <x:c r="O22" s="9"/>
      <x:c r="P22" s="9"/>
    </x:row>
    <x:row r="23">
      <x:c r="A23" s="3" t="str">
        <x:v>Jackson, Reese</x:v>
      </x:c>
      <x:c r="B23" s="3" t="s">
        <x:v>12</x:v>
      </x:c>
      <x:c r="C23" s="3" t="str">
        <x:v>Project Beta Combined Benefits</x:v>
      </x:c>
      <x:c r="D23" s="3" t="s">
        <x:v>11</x:v>
      </x:c>
      <x:c r="E23" s="15">
        <x:v>870</x:v>
      </x:c>
      <x:c r="F23" s="25" t="n">
        <x:f>MIN(E23,MAX(0,'Premium Lookup'!$F$2-SUMIFS($E$1:E22,$A$1:A22,A23)))</x:f>
        <x:v>870</x:v>
      </x:c>
      <x:c r="G23" s="25" t="n">
        <x:f t="shared" si="0">MAX(E23-F23,0)</x:f>
        <x:v>0</x:v>
      </x:c>
      <x:c r="H23"/>
      <x:c r="I23" s="10" t="str">
        <x:v>Employee</x:v>
      </x:c>
      <x:c r="J23" s="11" t="n">
        <x:v>541.86</x:v>
      </x:c>
      <x:c r="K23" s="11"/>
      <x:c r="L23" s="12"/>
      <x:c r="M23" s="11"/>
      <x:c r="N23" s="11"/>
      <x:c r="O23" s="11"/>
      <x:c r="P23" s="11"/>
    </x:row>
    <x:row r="24">
      <x:c r="A24" s="2" t="str">
        <x:v>Kim, Hayden</x:v>
      </x:c>
      <x:c r="B24" s="2" t="s">
        <x:v>7</x:v>
      </x:c>
      <x:c r="C24" s="2" t="str">
        <x:v>Dental Plan Standard</x:v>
      </x:c>
      <x:c r="D24" s="2" t="s">
        <x:v>10</x:v>
      </x:c>
      <x:c r="E24" s="15">
        <x:v>164.06</x:v>
      </x:c>
      <x:c r="F24" s="25" t="n">
        <x:f>MIN(E24,MAX(0,'Premium Lookup'!$F$2-SUMIFS($E$1:E23,$A$1:A23,A24)))</x:f>
        <x:v>164.06</x:v>
      </x:c>
      <x:c r="G24" s="25" t="n">
        <x:f t="shared" si="0">MAX(E24-F24,0)</x:f>
        <x:v>0</x:v>
      </x:c>
      <x:c r="H24"/>
      <x:c r="I24" s="10" t="str">
        <x:v>Emloyee+ Spouse</x:v>
      </x:c>
      <x:c r="J24" s="11" t="n">
        <x:v>1093.92</x:v>
      </x:c>
      <x:c r="K24" s="11"/>
      <x:c r="L24" s="12"/>
      <x:c r="M24" s="11"/>
      <x:c r="N24" s="11"/>
      <x:c r="O24" s="11"/>
      <x:c r="P24" s="11"/>
    </x:row>
    <x:row r="25">
      <x:c r="A25" s="3" t="str">
        <x:v>Kim, Hayden</x:v>
      </x:c>
      <x:c r="B25" s="3" t="s">
        <x:v>8</x:v>
      </x:c>
      <x:c r="C25" s="3" t="str">
        <x:v>Vision Plan Standard</x:v>
      </x:c>
      <x:c r="D25" s="3" t="s">
        <x:v>10</x:v>
      </x:c>
      <x:c r="E25" s="15">
        <x:v>27.18</x:v>
      </x:c>
      <x:c r="F25" s="25" t="n">
        <x:f>MIN(E25,MAX(0,'Premium Lookup'!$F$2-SUMIFS($E$1:E24,$A$1:A24,A25)))</x:f>
        <x:v>27.18</x:v>
      </x:c>
      <x:c r="G25" s="25" t="n">
        <x:f t="shared" si="0">MAX(E25-F25,0)</x:f>
        <x:v>0</x:v>
      </x:c>
      <x:c r="H25"/>
      <x:c r="I25" s="10" t="str">
        <x:v>Employee + Children</x:v>
      </x:c>
      <x:c r="J25" s="11" t="n">
        <x:v>933.5</x:v>
      </x:c>
      <x:c r="K25" s="11"/>
      <x:c r="L25" s="12"/>
      <x:c r="M25" s="11"/>
      <x:c r="N25" s="11"/>
      <x:c r="O25" s="11"/>
      <x:c r="P25" s="11"/>
    </x:row>
    <x:row r="26">
      <x:c r="A26" s="2" t="str">
        <x:v>Lewis, Skyler</x:v>
      </x:c>
      <x:c r="B26" s="2" t="s">
        <x:v>5</x:v>
      </x:c>
      <x:c r="C26" s="2" t="str">
        <x:v>Health Plan B</x:v>
      </x:c>
      <x:c r="D26" s="2" t="s">
        <x:v>11</x:v>
      </x:c>
      <x:c r="E26" s="15">
        <x:v>492.26</x:v>
      </x:c>
      <x:c r="F26" s="25" t="n">
        <x:f>MIN(E26,MAX(0,'Premium Lookup'!$F$2-SUMIFS($E$1:E25,$A$1:A25,A26)))</x:f>
        <x:v>492.26</x:v>
      </x:c>
      <x:c r="G26" s="25" t="n">
        <x:f t="shared" si="0">MAX(E26-F26,0)</x:f>
        <x:v>0</x:v>
      </x:c>
      <x:c r="H26"/>
      <x:c r="I26" s="10" t="str">
        <x:v>Employe+Family</x:v>
      </x:c>
      <x:c r="J26" s="11" t="n">
        <x:v>1545.59</x:v>
      </x:c>
      <x:c r="K26" s="11"/>
      <x:c r="L26" s="12"/>
      <x:c r="M26" s="11"/>
      <x:c r="N26" s="11"/>
      <x:c r="O26" s="11"/>
      <x:c r="P26" s="11"/>
    </x:row>
    <x:row r="27">
      <x:c r="A27" s="3" t="str">
        <x:v>Lewis, Skyler</x:v>
      </x:c>
      <x:c r="B27" s="3" t="s">
        <x:v>7</x:v>
      </x:c>
      <x:c r="C27" s="3" t="str">
        <x:v>Dental Plan Standard</x:v>
      </x:c>
      <x:c r="D27" s="3" t="s">
        <x:v>11</x:v>
      </x:c>
      <x:c r="E27" s="15">
        <x:v>39.76</x:v>
      </x:c>
      <x:c r="F27" s="25" t="n">
        <x:f>MIN(E27,MAX(0,'Premium Lookup'!$F$2-SUMIFS($E$1:E26,$A$1:A26,A27)))</x:f>
        <x:v>39.76</x:v>
      </x:c>
      <x:c r="G27" s="25" t="n">
        <x:f t="shared" si="0">MAX(E27-F27,0)</x:f>
        <x:v>0</x:v>
      </x:c>
      <x:c r="H27"/>
      <x:c r="I27" s="10" t="str">
        <x:v>Total</x:v>
      </x:c>
      <x:c r="J27" s="11"/>
      <x:c r="K27" s="11"/>
      <x:c r="L27" s="12"/>
      <x:c r="M27" s="11"/>
      <x:c r="N27" s="11"/>
      <x:c r="O27" s="11"/>
      <x:c r="P27" s="11"/>
    </x:row>
    <x:row r="28">
      <x:c r="A28" s="2" t="str">
        <x:v>Lewis, Skyler</x:v>
      </x:c>
      <x:c r="B28" s="2" t="s">
        <x:v>8</x:v>
      </x:c>
      <x:c r="C28" s="2" t="str">
        <x:v>Vision Plan Standard</x:v>
      </x:c>
      <x:c r="D28" s="2" t="s">
        <x:v>11</x:v>
      </x:c>
      <x:c r="E28" s="15">
        <x:v>7.71</x:v>
      </x:c>
      <x:c r="F28" s="25" t="n">
        <x:f>MIN(E28,MAX(0,'Premium Lookup'!$F$2-SUMIFS($E$1:E27,$A$1:A27,A28)))</x:f>
        <x:v>7.71</x:v>
      </x:c>
      <x:c r="G28" s="25" t="n">
        <x:f t="shared" si="0">MAX(E28-F28,0)</x:f>
        <x:v>0</x:v>
      </x:c>
      <x:c r="H28"/>
      <x:c r="I28"/>
      <x:c r="J28"/>
    </x:row>
    <x:row r="29">
      <x:c r="A29" s="3" t="str">
        <x:v>Moore, Rowan</x:v>
      </x:c>
      <x:c r="B29" s="3" t="s">
        <x:v>5</x:v>
      </x:c>
      <x:c r="C29" s="3" t="str">
        <x:v>Health Plan A</x:v>
      </x:c>
      <x:c r="D29" s="3" t="s">
        <x:v>10</x:v>
      </x:c>
      <x:c r="E29" s="15">
        <x:v>1545.59</x:v>
      </x:c>
      <x:c r="F29" s="25" t="n">
        <x:f>MIN(E29,MAX(0,'Premium Lookup'!$F$2-SUMIFS($E$1:E28,$A$1:A28,A29)))</x:f>
        <x:v>900</x:v>
      </x:c>
      <x:c r="G29" s="25" t="n">
        <x:f t="shared" si="0">MAX(E29-F29,0)</x:f>
        <x:v>645.5899999999999</x:v>
      </x:c>
      <x:c r="H29"/>
      <x:c r="I29" s="8" t="str">
        <x:v>Dental Plan Standard</x:v>
      </x:c>
      <x:c r="J29" s="9" t="str">
        <x:v>Premium Total</x:v>
      </x:c>
      <x:c r="K29" s="9"/>
      <x:c r="L29" s="9"/>
      <x:c r="M29" s="9"/>
      <x:c r="N29" s="9"/>
      <x:c r="O29" s="9"/>
    </x:row>
    <x:row r="30">
      <x:c r="A30" s="2" t="str">
        <x:v>Moore, Rowan</x:v>
      </x:c>
      <x:c r="B30" s="2" t="s">
        <x:v>7</x:v>
      </x:c>
      <x:c r="C30" s="2" t="str">
        <x:v>Dental Plan Standard</x:v>
      </x:c>
      <x:c r="D30" s="2" t="s">
        <x:v>10</x:v>
      </x:c>
      <x:c r="E30" s="15">
        <x:v>164.06</x:v>
      </x:c>
      <x:c r="F30" s="25" t="n">
        <x:f>MIN(E30,MAX(0,'Premium Lookup'!$F$2-SUMIFS($E$1:E29,$A$1:A29,A30)))</x:f>
        <x:v>0</x:v>
      </x:c>
      <x:c r="G30" s="25" t="n">
        <x:f t="shared" si="0">MAX(E30-F30,0)</x:f>
        <x:v>164.06</x:v>
      </x:c>
      <x:c r="H30"/>
      <x:c r="I30" s="10" t="str">
        <x:v>Employee</x:v>
      </x:c>
      <x:c r="J30" s="11" t="n">
        <x:v>39.76</x:v>
      </x:c>
      <x:c r="K30" s="10"/>
      <x:c r="L30" s="11"/>
      <x:c r="M30" s="11"/>
      <x:c r="N30" s="11"/>
      <x:c r="O30" s="11"/>
    </x:row>
    <x:row r="31">
      <x:c r="A31" s="3" t="str">
        <x:v>Moore, Rowan</x:v>
      </x:c>
      <x:c r="B31" s="3" t="s">
        <x:v>8</x:v>
      </x:c>
      <x:c r="C31" s="3" t="str">
        <x:v>Vision Plan Standard</x:v>
      </x:c>
      <x:c r="D31" s="3" t="s">
        <x:v>10</x:v>
      </x:c>
      <x:c r="E31" s="15">
        <x:v>27.18</x:v>
      </x:c>
      <x:c r="F31" s="25" t="n">
        <x:f>MIN(E31,MAX(0,'Premium Lookup'!$F$2-SUMIFS($E$1:E30,$A$1:A30,A31)))</x:f>
        <x:v>0</x:v>
      </x:c>
      <x:c r="G31" s="25" t="n">
        <x:f t="shared" si="0">MAX(E31-F31,0)</x:f>
        <x:v>27.18</x:v>
      </x:c>
      <x:c r="H31"/>
      <x:c r="I31" s="10" t="str">
        <x:v>Emloyee+ Spouse</x:v>
      </x:c>
      <x:c r="J31" s="11" t="n">
        <x:v>79.29</x:v>
      </x:c>
      <x:c r="K31" s="10"/>
      <x:c r="L31" s="11"/>
      <x:c r="M31" s="11"/>
      <x:c r="N31" s="11"/>
      <x:c r="O31" s="11"/>
    </x:row>
    <x:row r="32">
      <x:c r="A32" s="2" t="str">
        <x:v>Nelson, Drew</x:v>
      </x:c>
      <x:c r="B32" s="2" t="s">
        <x:v>5</x:v>
      </x:c>
      <x:c r="C32" s="2" t="str">
        <x:v>Health Plan A</x:v>
      </x:c>
      <x:c r="D32" s="2" t="s">
        <x:v>11</x:v>
      </x:c>
      <x:c r="E32" s="15">
        <x:v>541.86</x:v>
      </x:c>
      <x:c r="F32" s="25" t="n">
        <x:f>MIN(E32,MAX(0,'Premium Lookup'!$F$2-SUMIFS($E$1:E31,$A$1:A31,A32)))</x:f>
        <x:v>541.86</x:v>
      </x:c>
      <x:c r="G32" s="25" t="n">
        <x:f t="shared" si="0">MAX(E32-F32,0)</x:f>
        <x:v>0</x:v>
      </x:c>
      <x:c r="H32"/>
      <x:c r="I32" s="10" t="str">
        <x:v>Employee + Children</x:v>
      </x:c>
      <x:c r="J32" s="11" t="n">
        <x:v>106.06</x:v>
      </x:c>
      <x:c r="K32" s="10"/>
      <x:c r="L32" s="11"/>
      <x:c r="M32" s="11"/>
      <x:c r="N32" s="11"/>
      <x:c r="O32" s="11"/>
    </x:row>
    <x:row r="33">
      <x:c r="A33" s="3" t="str">
        <x:v>Nelson, Drew</x:v>
      </x:c>
      <x:c r="B33" s="3" t="s">
        <x:v>7</x:v>
      </x:c>
      <x:c r="C33" s="3" t="str">
        <x:v>Dental Plan Standard</x:v>
      </x:c>
      <x:c r="D33" s="3" t="s">
        <x:v>11</x:v>
      </x:c>
      <x:c r="E33" s="15">
        <x:v>39.76</x:v>
      </x:c>
      <x:c r="F33" s="25" t="n">
        <x:f>MIN(E33,MAX(0,'Premium Lookup'!$F$2-SUMIFS($E$1:E32,$A$1:A32,A33)))</x:f>
        <x:v>39.76</x:v>
      </x:c>
      <x:c r="G33" s="25" t="n">
        <x:f t="shared" si="0">MAX(E33-F33,0)</x:f>
        <x:v>0</x:v>
      </x:c>
      <x:c r="H33"/>
      <x:c r="I33" s="10" t="str">
        <x:v>Employe+Family</x:v>
      </x:c>
      <x:c r="J33" s="11" t="n">
        <x:v>164.06</x:v>
      </x:c>
      <x:c r="K33" s="10"/>
      <x:c r="L33" s="11"/>
      <x:c r="M33" s="11"/>
      <x:c r="N33" s="11"/>
      <x:c r="O33" s="11"/>
    </x:row>
    <x:row r="34">
      <x:c r="A34" s="2" t="str">
        <x:v>Nelson, Drew</x:v>
      </x:c>
      <x:c r="B34" s="2" t="s">
        <x:v>8</x:v>
      </x:c>
      <x:c r="C34" s="2" t="str">
        <x:v>Vision Plan Standard</x:v>
      </x:c>
      <x:c r="D34" s="2" t="s">
        <x:v>11</x:v>
      </x:c>
      <x:c r="E34" s="15">
        <x:v>7.71</x:v>
      </x:c>
      <x:c r="F34" s="25" t="n">
        <x:f>MIN(E34,MAX(0,'Premium Lookup'!$F$2-SUMIFS($E$1:E33,$A$1:A33,A34)))</x:f>
        <x:v>7.71</x:v>
      </x:c>
      <x:c r="G34" s="25" t="n">
        <x:f t="shared" ref="G34:G65" si="1">MAX(E34-F34,0)</x:f>
        <x:v>0</x:v>
      </x:c>
      <x:c r="H34"/>
      <x:c r="I34" s="10" t="str">
        <x:v>Total</x:v>
      </x:c>
      <x:c r="J34" s="11"/>
      <x:c r="K34" s="10"/>
      <x:c r="L34" s="11"/>
      <x:c r="M34" s="11"/>
      <x:c r="N34" s="11"/>
      <x:c r="O34" s="11"/>
    </x:row>
    <x:row r="35">
      <x:c r="A35" s="3" t="str">
        <x:v>Ortiz, Emerson</x:v>
      </x:c>
      <x:c r="B35" s="3" t="s">
        <x:v>12</x:v>
      </x:c>
      <x:c r="C35" s="3" t="str">
        <x:v>Project Beta Combined Benefits</x:v>
      </x:c>
      <x:c r="D35" s="3" t="s">
        <x:v>10</x:v>
      </x:c>
      <x:c r="E35" s="15">
        <x:v>2470</x:v>
      </x:c>
      <x:c r="F35" s="25" t="n">
        <x:f>MIN(E35,MAX(0,'Premium Lookup'!$F$2-SUMIFS($E$1:E34,$A$1:A34,A35)))</x:f>
        <x:v>900</x:v>
      </x:c>
      <x:c r="G35" s="25" t="n">
        <x:f t="shared" si="1">MAX(E35-F35,0)</x:f>
        <x:v>1570</x:v>
      </x:c>
      <x:c r="H35"/>
      <x:c r="I35" s="13"/>
      <x:c r="J35" s="13"/>
      <x:c r="K35" s="13"/>
      <x:c r="L35" s="13"/>
      <x:c r="M35" s="13"/>
      <x:c r="N35" s="13"/>
      <x:c r="O35" s="13"/>
    </x:row>
    <x:row r="36">
      <x:c r="A36" s="2" t="str">
        <x:v>Price, Finley</x:v>
      </x:c>
      <x:c r="B36" s="2" t="s">
        <x:v>7</x:v>
      </x:c>
      <x:c r="C36" s="2" t="str">
        <x:v>Dental Plan Standard</x:v>
      </x:c>
      <x:c r="D36" s="2" t="s">
        <x:v>10</x:v>
      </x:c>
      <x:c r="E36" s="15">
        <x:v>164.06</x:v>
      </x:c>
      <x:c r="F36" s="25" t="n">
        <x:f>MIN(E36,MAX(0,'Premium Lookup'!$F$2-SUMIFS($E$1:E35,$A$1:A35,A36)))</x:f>
        <x:v>164.06</x:v>
      </x:c>
      <x:c r="G36" s="25" t="n">
        <x:f t="shared" si="1">MAX(E36-F36,0)</x:f>
        <x:v>0</x:v>
      </x:c>
      <x:c r="H36"/>
      <x:c r="I36" s="8" t="str">
        <x:v>Vision Plan Standard</x:v>
      </x:c>
      <x:c r="J36" s="9" t="str">
        <x:v>Premium Total</x:v>
      </x:c>
      <x:c r="K36" s="9"/>
      <x:c r="L36" s="9"/>
      <x:c r="M36" s="9"/>
      <x:c r="N36" s="9"/>
      <x:c r="O36" s="9"/>
    </x:row>
    <x:row r="37">
      <x:c r="A37" s="3" t="str">
        <x:v>Reed, Dakota</x:v>
      </x:c>
      <x:c r="B37" s="3" t="s">
        <x:v>7</x:v>
      </x:c>
      <x:c r="C37" s="3" t="str">
        <x:v>Dental Plan Standard</x:v>
      </x:c>
      <x:c r="D37" s="3" t="s">
        <x:v>6</x:v>
      </x:c>
      <x:c r="E37" s="15">
        <x:v>79.290000000000006</x:v>
      </x:c>
      <x:c r="F37" s="25" t="n">
        <x:f>MIN(E37,MAX(0,'Premium Lookup'!$F$2-SUMIFS($E$1:E36,$A$1:A36,A37)))</x:f>
        <x:v>79.29</x:v>
      </x:c>
      <x:c r="G37" s="25" t="n">
        <x:f t="shared" si="1">MAX(E37-F37,0)</x:f>
        <x:v>0</x:v>
      </x:c>
      <x:c r="H37"/>
      <x:c r="I37" s="10" t="str">
        <x:v>Employee</x:v>
      </x:c>
      <x:c r="J37" s="14" t="n">
        <x:v>7.71</x:v>
      </x:c>
      <x:c r="K37" s="10"/>
      <x:c r="L37" s="11"/>
      <x:c r="M37" s="11"/>
      <x:c r="N37" s="11"/>
      <x:c r="O37" s="11"/>
    </x:row>
    <x:row r="38">
      <x:c r="A38" s="2" t="str">
        <x:v>Reed, Dakota</x:v>
      </x:c>
      <x:c r="B38" s="2" t="s">
        <x:v>8</x:v>
      </x:c>
      <x:c r="C38" s="2" t="str">
        <x:v>Vision Plan Standard</x:v>
      </x:c>
      <x:c r="D38" s="2" t="s">
        <x:v>6</x:v>
      </x:c>
      <x:c r="E38" s="15">
        <x:v>15.42</x:v>
      </x:c>
      <x:c r="F38" s="25" t="n">
        <x:f>MIN(E38,MAX(0,'Premium Lookup'!$F$2-SUMIFS($E$1:E37,$A$1:A37,A38)))</x:f>
        <x:v>15.42</x:v>
      </x:c>
      <x:c r="G38" s="25" t="n">
        <x:f t="shared" si="1">MAX(E38-F38,0)</x:f>
        <x:v>0</x:v>
      </x:c>
      <x:c r="H38"/>
      <x:c r="I38" s="10" t="str">
        <x:v>Emloyee+ Spouse</x:v>
      </x:c>
      <x:c r="J38" s="14" t="n">
        <x:v>15.42</x:v>
      </x:c>
      <x:c r="K38" s="10"/>
      <x:c r="L38" s="11"/>
      <x:c r="M38" s="11"/>
      <x:c r="N38" s="11"/>
      <x:c r="O38" s="11"/>
    </x:row>
    <x:row r="39">
      <x:c r="A39" s="3" t="str">
        <x:v>Scott, Kendall</x:v>
      </x:c>
      <x:c r="B39" s="3" t="s">
        <x:v>5</x:v>
      </x:c>
      <x:c r="C39" s="3" t="str">
        <x:v>Health Plan A</x:v>
      </x:c>
      <x:c r="D39" s="3" t="s">
        <x:v>11</x:v>
      </x:c>
      <x:c r="E39" s="15">
        <x:v>541.86</x:v>
      </x:c>
      <x:c r="F39" s="25" t="n">
        <x:f>MIN(E39,MAX(0,'Premium Lookup'!$F$2-SUMIFS($E$1:E38,$A$1:A38,A39)))</x:f>
        <x:v>541.86</x:v>
      </x:c>
      <x:c r="G39" s="25" t="n">
        <x:f t="shared" si="1">MAX(E39-F39,0)</x:f>
        <x:v>0</x:v>
      </x:c>
      <x:c r="H39"/>
      <x:c r="I39" s="10" t="str">
        <x:v>Employee + Children</x:v>
      </x:c>
      <x:c r="J39" s="14" t="n">
        <x:v>17.43</x:v>
      </x:c>
      <x:c r="K39" s="10"/>
      <x:c r="L39" s="11"/>
      <x:c r="M39" s="11"/>
      <x:c r="N39" s="11"/>
      <x:c r="O39" s="11"/>
    </x:row>
    <x:row r="40">
      <x:c r="A40" s="2" t="str">
        <x:v>Scott, Kendall</x:v>
      </x:c>
      <x:c r="B40" s="2" t="s">
        <x:v>7</x:v>
      </x:c>
      <x:c r="C40" s="2" t="str">
        <x:v>Dental Plan Standard</x:v>
      </x:c>
      <x:c r="D40" s="2" t="s">
        <x:v>11</x:v>
      </x:c>
      <x:c r="E40" s="15">
        <x:v>39.76</x:v>
      </x:c>
      <x:c r="F40" s="25" t="n">
        <x:f>MIN(E40,MAX(0,'Premium Lookup'!$F$2-SUMIFS($E$1:E39,$A$1:A39,A40)))</x:f>
        <x:v>39.76</x:v>
      </x:c>
      <x:c r="G40" s="25" t="n">
        <x:f t="shared" si="1">MAX(E40-F40,0)</x:f>
        <x:v>0</x:v>
      </x:c>
      <x:c r="H40"/>
      <x:c r="I40" s="10" t="str">
        <x:v>Employe+Family</x:v>
      </x:c>
      <x:c r="J40" s="14" t="n">
        <x:v>27.18</x:v>
      </x:c>
      <x:c r="K40" s="10"/>
      <x:c r="L40" s="11"/>
      <x:c r="M40" s="11"/>
      <x:c r="N40" s="11"/>
      <x:c r="O40" s="11"/>
    </x:row>
    <x:row r="41">
      <x:c r="A41" s="3" t="str">
        <x:v>Scott, Kendall</x:v>
      </x:c>
      <x:c r="B41" s="3" t="s">
        <x:v>8</x:v>
      </x:c>
      <x:c r="C41" s="3" t="str">
        <x:v>Vision Plan Standard</x:v>
      </x:c>
      <x:c r="D41" s="3" t="s">
        <x:v>11</x:v>
      </x:c>
      <x:c r="E41" s="15">
        <x:v>7.71</x:v>
      </x:c>
      <x:c r="F41" s="25" t="n">
        <x:f>MIN(E41,MAX(0,'Premium Lookup'!$F$2-SUMIFS($E$1:E40,$A$1:A40,A41)))</x:f>
        <x:v>7.71</x:v>
      </x:c>
      <x:c r="G41" s="25" t="n">
        <x:f t="shared" si="1">MAX(E41-F41,0)</x:f>
        <x:v>0</x:v>
      </x:c>
      <x:c r="H41"/>
      <x:c r="I41" s="10" t="str">
        <x:v>Total</x:v>
      </x:c>
      <x:c r="J41" s="14"/>
      <x:c r="K41" s="10"/>
      <x:c r="L41" s="11"/>
      <x:c r="M41" s="11"/>
      <x:c r="N41" s="11"/>
      <x:c r="O41" s="11"/>
    </x:row>
    <x:row r="42">
      <x:c r="A42" s="2" t="str">
        <x:v>Turner, Payton</x:v>
      </x:c>
      <x:c r="B42" s="2" t="s">
        <x:v>7</x:v>
      </x:c>
      <x:c r="C42" s="2" t="str">
        <x:v>Dental Plan Standard</x:v>
      </x:c>
      <x:c r="D42" s="2" t="s">
        <x:v>10</x:v>
      </x:c>
      <x:c r="E42" s="15">
        <x:v>164.06</x:v>
      </x:c>
      <x:c r="F42" s="25" t="n">
        <x:f>MIN(E42,MAX(0,'Premium Lookup'!$F$2-SUMIFS($E$1:E41,$A$1:A41,A42)))</x:f>
        <x:v>164.06</x:v>
      </x:c>
      <x:c r="G42" s="25" t="n">
        <x:f t="shared" si="1">MAX(E42-F42,0)</x:f>
        <x:v>0</x:v>
      </x:c>
      <x:c r="H42"/>
      <x:c r="I42"/>
      <x:c r="J42"/>
    </x:row>
    <x:row r="43">
      <x:c r="A43" s="3" t="str">
        <x:v>Turner, Payton</x:v>
      </x:c>
      <x:c r="B43" s="3" t="s">
        <x:v>8</x:v>
      </x:c>
      <x:c r="C43" s="3" t="str">
        <x:v>Vision Plan Standard</x:v>
      </x:c>
      <x:c r="D43" s="3" t="s">
        <x:v>10</x:v>
      </x:c>
      <x:c r="E43" s="15">
        <x:v>27.18</x:v>
      </x:c>
      <x:c r="F43" s="25" t="n">
        <x:f>MIN(E43,MAX(0,'Premium Lookup'!$F$2-SUMIFS($E$1:E42,$A$1:A42,A43)))</x:f>
        <x:v>27.18</x:v>
      </x:c>
      <x:c r="G43" s="25" t="n">
        <x:f t="shared" si="1">MAX(E43-F43,0)</x:f>
        <x:v>0</x:v>
      </x:c>
      <x:c r="H43"/>
      <x:c r="I43"/>
      <x:c r="J43"/>
    </x:row>
    <x:row r="44">
      <x:c r="A44" s="2" t="str">
        <x:v>Underwood, Jamie</x:v>
      </x:c>
      <x:c r="B44" s="2" t="s">
        <x:v>7</x:v>
      </x:c>
      <x:c r="C44" s="2" t="str">
        <x:v>Dental Plan Standard</x:v>
      </x:c>
      <x:c r="D44" s="2" t="s">
        <x:v>6</x:v>
      </x:c>
      <x:c r="E44" s="15">
        <x:v>79.290000000000006</x:v>
      </x:c>
      <x:c r="F44" s="25" t="n">
        <x:f>MIN(E44,MAX(0,'Premium Lookup'!$F$2-SUMIFS($E$1:E43,$A$1:A43,A44)))</x:f>
        <x:v>79.29</x:v>
      </x:c>
      <x:c r="G44" s="25" t="n">
        <x:f t="shared" si="1">MAX(E44-F44,0)</x:f>
        <x:v>0</x:v>
      </x:c>
      <x:c r="H44"/>
      <x:c r="I44"/>
      <x:c r="J44"/>
    </x:row>
    <x:row r="45">
      <x:c r="A45" s="3" t="str">
        <x:v>Vega, Alexis</x:v>
      </x:c>
      <x:c r="B45" s="3" t="s">
        <x:v>5</x:v>
      </x:c>
      <x:c r="C45" s="3" t="str">
        <x:v>Health Plan A - Project Alpha</x:v>
      </x:c>
      <x:c r="D45" s="3" t="s">
        <x:v>10</x:v>
      </x:c>
      <x:c r="E45" s="15">
        <x:v>1545.59</x:v>
      </x:c>
      <x:c r="F45" s="25" t="n">
        <x:f>MIN(E45,MAX(0,'Premium Lookup'!$F$2-SUMIFS($E$1:E44,$A$1:A44,A45)))</x:f>
        <x:v>900</x:v>
      </x:c>
      <x:c r="G45" s="25" t="n">
        <x:f t="shared" si="1">MAX(E45-F45,0)</x:f>
        <x:v>645.5899999999999</x:v>
      </x:c>
      <x:c r="H45"/>
      <x:c r="I45"/>
      <x:c r="J45"/>
    </x:row>
    <x:row r="46">
      <x:c r="A46" s="2" t="str">
        <x:v>Vega, Alexis</x:v>
      </x:c>
      <x:c r="B46" s="2" t="s">
        <x:v>7</x:v>
      </x:c>
      <x:c r="C46" s="2" t="str">
        <x:v>Dental Plan Standard</x:v>
      </x:c>
      <x:c r="D46" s="2" t="s">
        <x:v>10</x:v>
      </x:c>
      <x:c r="E46" s="15">
        <x:v>164.06</x:v>
      </x:c>
      <x:c r="F46" s="25" t="n">
        <x:f>MIN(E46,MAX(0,'Premium Lookup'!$F$2-SUMIFS($E$1:E45,$A$1:A45,A46)))</x:f>
        <x:v>0</x:v>
      </x:c>
      <x:c r="G46" s="25" t="n">
        <x:f t="shared" si="1">MAX(E46-F46,0)</x:f>
        <x:v>164.06</x:v>
      </x:c>
      <x:c r="H46"/>
      <x:c r="I46"/>
      <x:c r="J46"/>
    </x:row>
    <x:row r="47">
      <x:c r="A47" s="3" t="str">
        <x:v>Vega, Alexis</x:v>
      </x:c>
      <x:c r="B47" s="3" t="s">
        <x:v>8</x:v>
      </x:c>
      <x:c r="C47" s="3" t="str">
        <x:v>Vision Plan Standard</x:v>
      </x:c>
      <x:c r="D47" s="3" t="s">
        <x:v>10</x:v>
      </x:c>
      <x:c r="E47" s="15">
        <x:v>27.18</x:v>
      </x:c>
      <x:c r="F47" s="25" t="n">
        <x:f>MIN(E47,MAX(0,'Premium Lookup'!$F$2-SUMIFS($E$1:E46,$A$1:A46,A47)))</x:f>
        <x:v>0</x:v>
      </x:c>
      <x:c r="G47" s="25" t="n">
        <x:f t="shared" si="1">MAX(E47-F47,0)</x:f>
        <x:v>27.18</x:v>
      </x:c>
      <x:c r="H47"/>
      <x:c r="I47"/>
      <x:c r="J47"/>
    </x:row>
    <x:row r="48">
      <x:c r="A48" s="2" t="str">
        <x:v>White, Sidney</x:v>
      </x:c>
      <x:c r="B48" s="2" t="s">
        <x:v>5</x:v>
      </x:c>
      <x:c r="C48" s="2" t="str">
        <x:v>Health Plan B</x:v>
      </x:c>
      <x:c r="D48" s="2" t="s">
        <x:v>9</x:v>
      </x:c>
      <x:c r="E48" s="15">
        <x:v>900.1</x:v>
      </x:c>
      <x:c r="F48" s="25" t="n">
        <x:f>MIN(E48,MAX(0,'Premium Lookup'!$F$2-SUMIFS($E$1:E47,$A$1:A47,A48)))</x:f>
        <x:v>900</x:v>
      </x:c>
      <x:c r="G48" s="25" t="n">
        <x:f t="shared" si="1">MAX(E48-F48,0)</x:f>
        <x:v>0.10000000000002274</x:v>
      </x:c>
      <x:c r="H48"/>
      <x:c r="I48"/>
      <x:c r="J48"/>
    </x:row>
    <x:row r="49">
      <x:c r="A49" s="3" t="str">
        <x:v>White, Sidney</x:v>
      </x:c>
      <x:c r="B49" s="3" t="s">
        <x:v>7</x:v>
      </x:c>
      <x:c r="C49" s="3" t="str">
        <x:v>Dental Plan Standard</x:v>
      </x:c>
      <x:c r="D49" s="3" t="s">
        <x:v>9</x:v>
      </x:c>
      <x:c r="E49" s="15">
        <x:v>106.06</x:v>
      </x:c>
      <x:c r="F49" s="25" t="n">
        <x:f>MIN(E49,MAX(0,'Premium Lookup'!$F$2-SUMIFS($E$1:E48,$A$1:A48,A49)))</x:f>
        <x:v>0</x:v>
      </x:c>
      <x:c r="G49" s="25" t="n">
        <x:f t="shared" si="1">MAX(E49-F49,0)</x:f>
        <x:v>106.06</x:v>
      </x:c>
      <x:c r="H49"/>
      <x:c r="I49"/>
      <x:c r="J49"/>
    </x:row>
    <x:row r="50">
      <x:c r="A50" s="2" t="str">
        <x:v>White, Sidney</x:v>
      </x:c>
      <x:c r="B50" s="2" t="s">
        <x:v>8</x:v>
      </x:c>
      <x:c r="C50" s="2" t="str">
        <x:v>Vision Plan Standard</x:v>
      </x:c>
      <x:c r="D50" s="2" t="s">
        <x:v>9</x:v>
      </x:c>
      <x:c r="E50" s="15">
        <x:v>17.43</x:v>
      </x:c>
      <x:c r="F50" s="25" t="n">
        <x:f>MIN(E50,MAX(0,'Premium Lookup'!$F$2-SUMIFS($E$1:E49,$A$1:A49,A50)))</x:f>
        <x:v>0</x:v>
      </x:c>
      <x:c r="G50" s="25" t="n">
        <x:f t="shared" si="1">MAX(E50-F50,0)</x:f>
        <x:v>17.43</x:v>
      </x:c>
      <x:c r="H50"/>
      <x:c r="I50"/>
      <x:c r="J50"/>
    </x:row>
    <x:row r="51">
      <x:c r="A51" s="3" t="str">
        <x:v>Young, Robin</x:v>
      </x:c>
      <x:c r="B51" s="3" t="s">
        <x:v>12</x:v>
      </x:c>
      <x:c r="C51" s="3" t="str">
        <x:v>Project Beta Combined Benefits</x:v>
      </x:c>
      <x:c r="D51" s="3" t="s">
        <x:v>11</x:v>
      </x:c>
      <x:c r="E51" s="15">
        <x:v>870</x:v>
      </x:c>
      <x:c r="F51" s="25" t="n">
        <x:f>MIN(E51,MAX(0,'Premium Lookup'!$F$2-SUMIFS($E$1:E50,$A$1:A50,A51)))</x:f>
        <x:v>870</x:v>
      </x:c>
      <x:c r="G51" s="25" t="n">
        <x:f t="shared" si="1">MAX(E51-F51,0)</x:f>
        <x:v>0</x:v>
      </x:c>
      <x:c r="H51"/>
      <x:c r="I51"/>
      <x:c r="J51"/>
    </x:row>
    <x:row r="52">
      <x:c r="A52" s="2" t="str">
        <x:v>Brooks, Devin</x:v>
      </x:c>
      <x:c r="B52" s="2" t="s">
        <x:v>5</x:v>
      </x:c>
      <x:c r="C52" s="2" t="str">
        <x:v>Health Plan B</x:v>
      </x:c>
      <x:c r="D52" s="2" t="s">
        <x:v>9</x:v>
      </x:c>
      <x:c r="E52" s="15">
        <x:v>900.1</x:v>
      </x:c>
      <x:c r="F52" s="25" t="n">
        <x:f>MIN(E52,MAX(0,'Premium Lookup'!$F$2-SUMIFS($E$1:E51,$A$1:A51,A52)))</x:f>
        <x:v>900</x:v>
      </x:c>
      <x:c r="G52" s="25" t="n">
        <x:f t="shared" si="1">MAX(E52-F52,0)</x:f>
        <x:v>0.10000000000002274</x:v>
      </x:c>
      <x:c r="H52"/>
      <x:c r="I52"/>
      <x:c r="J52"/>
    </x:row>
    <x:row r="53">
      <x:c r="A53" s="3" t="str">
        <x:v>Brooks, Devin</x:v>
      </x:c>
      <x:c r="B53" s="3" t="s">
        <x:v>7</x:v>
      </x:c>
      <x:c r="C53" s="3" t="str">
        <x:v>Dental Plan Standard</x:v>
      </x:c>
      <x:c r="D53" s="3" t="s">
        <x:v>9</x:v>
      </x:c>
      <x:c r="E53" s="15">
        <x:v>106.06</x:v>
      </x:c>
      <x:c r="F53" s="25" t="n">
        <x:f>MIN(E53,MAX(0,'Premium Lookup'!$F$2-SUMIFS($E$1:E52,$A$1:A52,A53)))</x:f>
        <x:v>0</x:v>
      </x:c>
      <x:c r="G53" s="25" t="n">
        <x:f t="shared" si="1">MAX(E53-F53,0)</x:f>
        <x:v>106.06</x:v>
      </x:c>
      <x:c r="H53"/>
      <x:c r="I53"/>
      <x:c r="J53"/>
    </x:row>
    <x:row r="54">
      <x:c r="A54" s="2" t="str">
        <x:v>Campbell, Blair</x:v>
      </x:c>
      <x:c r="B54" s="2" t="s">
        <x:v>5</x:v>
      </x:c>
      <x:c r="C54" s="2" t="str">
        <x:v>Health Plan B</x:v>
      </x:c>
      <x:c r="D54" s="2" t="s">
        <x:v>11</x:v>
      </x:c>
      <x:c r="E54" s="15">
        <x:v>492.26</x:v>
      </x:c>
      <x:c r="F54" s="25" t="n">
        <x:f>MIN(E54,MAX(0,'Premium Lookup'!$F$2-SUMIFS($E$1:E53,$A$1:A53,A54)))</x:f>
        <x:v>492.26</x:v>
      </x:c>
      <x:c r="G54" s="25" t="n">
        <x:f t="shared" si="1">MAX(E54-F54,0)</x:f>
        <x:v>0</x:v>
      </x:c>
      <x:c r="H54"/>
      <x:c r="I54"/>
      <x:c r="J54"/>
    </x:row>
    <x:row r="55">
      <x:c r="A55" s="3" t="str">
        <x:v>Campbell, Blair</x:v>
      </x:c>
      <x:c r="B55" s="3" t="s">
        <x:v>7</x:v>
      </x:c>
      <x:c r="C55" s="3" t="str">
        <x:v>Dental Plan Standard</x:v>
      </x:c>
      <x:c r="D55" s="3" t="s">
        <x:v>11</x:v>
      </x:c>
      <x:c r="E55" s="15">
        <x:v>39.76</x:v>
      </x:c>
      <x:c r="F55" s="25" t="n">
        <x:f>MIN(E55,MAX(0,'Premium Lookup'!$F$2-SUMIFS($E$1:E54,$A$1:A54,A55)))</x:f>
        <x:v>39.76</x:v>
      </x:c>
      <x:c r="G55" s="25" t="n">
        <x:f t="shared" si="1">MAX(E55-F55,0)</x:f>
        <x:v>0</x:v>
      </x:c>
      <x:c r="H55"/>
      <x:c r="I55"/>
      <x:c r="J55"/>
    </x:row>
    <x:row r="56">
      <x:c r="A56" s="2" t="str">
        <x:v>Campbell, Blair</x:v>
      </x:c>
      <x:c r="B56" s="2" t="s">
        <x:v>8</x:v>
      </x:c>
      <x:c r="C56" s="2" t="str">
        <x:v>Vision Plan Standard</x:v>
      </x:c>
      <x:c r="D56" s="2" t="s">
        <x:v>11</x:v>
      </x:c>
      <x:c r="E56" s="15">
        <x:v>7.71</x:v>
      </x:c>
      <x:c r="F56" s="25" t="n">
        <x:f>MIN(E56,MAX(0,'Premium Lookup'!$F$2-SUMIFS($E$1:E55,$A$1:A55,A56)))</x:f>
        <x:v>7.71</x:v>
      </x:c>
      <x:c r="G56" s="25" t="n">
        <x:f t="shared" si="1">MAX(E56-F56,0)</x:f>
        <x:v>0</x:v>
      </x:c>
      <x:c r="H56"/>
      <x:c r="I56"/>
      <x:c r="J56"/>
    </x:row>
    <x:row r="57">
      <x:c r="A57" s="3" t="str">
        <x:v>Cooper, Jesse</x:v>
      </x:c>
      <x:c r="B57" s="3" t="s">
        <x:v>5</x:v>
      </x:c>
      <x:c r="C57" s="3" t="str">
        <x:v>Health Plan A</x:v>
      </x:c>
      <x:c r="D57" s="3" t="s">
        <x:v>11</x:v>
      </x:c>
      <x:c r="E57" s="15">
        <x:v>541.86</x:v>
      </x:c>
      <x:c r="F57" s="25" t="n">
        <x:f>MIN(E57,MAX(0,'Premium Lookup'!$F$2-SUMIFS($E$1:E56,$A$1:A56,A57)))</x:f>
        <x:v>541.86</x:v>
      </x:c>
      <x:c r="G57" s="25" t="n">
        <x:f t="shared" si="1">MAX(E57-F57,0)</x:f>
        <x:v>0</x:v>
      </x:c>
      <x:c r="H57"/>
      <x:c r="I57"/>
      <x:c r="J57"/>
    </x:row>
    <x:row r="58">
      <x:c r="A58" s="2" t="str">
        <x:v>Cooper, Jesse</x:v>
      </x:c>
      <x:c r="B58" s="2" t="s">
        <x:v>7</x:v>
      </x:c>
      <x:c r="C58" s="2" t="str">
        <x:v>Dental Plan Standard</x:v>
      </x:c>
      <x:c r="D58" s="2" t="s">
        <x:v>11</x:v>
      </x:c>
      <x:c r="E58" s="15">
        <x:v>39.76</x:v>
      </x:c>
      <x:c r="F58" s="25" t="n">
        <x:f>MIN(E58,MAX(0,'Premium Lookup'!$F$2-SUMIFS($E$1:E57,$A$1:A57,A58)))</x:f>
        <x:v>39.76</x:v>
      </x:c>
      <x:c r="G58" s="25" t="n">
        <x:f t="shared" si="1">MAX(E58-F58,0)</x:f>
        <x:v>0</x:v>
      </x:c>
      <x:c r="H58"/>
      <x:c r="I58"/>
      <x:c r="J58"/>
    </x:row>
    <x:row r="59">
      <x:c r="A59" s="3" t="str">
        <x:v>Cooper, Jesse</x:v>
      </x:c>
      <x:c r="B59" s="3" t="s">
        <x:v>8</x:v>
      </x:c>
      <x:c r="C59" s="3" t="str">
        <x:v>Vision Plan Standard</x:v>
      </x:c>
      <x:c r="D59" s="3" t="s">
        <x:v>11</x:v>
      </x:c>
      <x:c r="E59" s="15">
        <x:v>7.71</x:v>
      </x:c>
      <x:c r="F59" s="25" t="n">
        <x:f>MIN(E59,MAX(0,'Premium Lookup'!$F$2-SUMIFS($E$1:E58,$A$1:A58,A59)))</x:f>
        <x:v>7.71</x:v>
      </x:c>
      <x:c r="G59" s="25" t="n">
        <x:f t="shared" si="1">MAX(E59-F59,0)</x:f>
        <x:v>0</x:v>
      </x:c>
      <x:c r="H59"/>
      <x:c r="I59"/>
      <x:c r="J59"/>
    </x:row>
    <x:row r="60">
      <x:c r="A60" s="2" t="str">
        <x:v>Edwards, Marley</x:v>
      </x:c>
      <x:c r="B60" s="2" t="s">
        <x:v>7</x:v>
      </x:c>
      <x:c r="C60" s="2" t="str">
        <x:v>Dental Plan Standard</x:v>
      </x:c>
      <x:c r="D60" s="2" t="s">
        <x:v>11</x:v>
      </x:c>
      <x:c r="E60" s="15">
        <x:v>39.76</x:v>
      </x:c>
      <x:c r="F60" s="25" t="n">
        <x:f>MIN(E60,MAX(0,'Premium Lookup'!$F$2-SUMIFS($E$1:E59,$A$1:A59,A60)))</x:f>
        <x:v>39.76</x:v>
      </x:c>
      <x:c r="G60" s="25" t="n">
        <x:f t="shared" si="1">MAX(E60-F60,0)</x:f>
        <x:v>0</x:v>
      </x:c>
      <x:c r="H60"/>
      <x:c r="I60"/>
      <x:c r="J60"/>
    </x:row>
    <x:row r="61">
      <x:c r="A61" s="3" t="str">
        <x:v>Flores, Arden</x:v>
      </x:c>
      <x:c r="B61" s="3" t="s">
        <x:v>7</x:v>
      </x:c>
      <x:c r="C61" s="3" t="str">
        <x:v>Dental Plan Standard</x:v>
      </x:c>
      <x:c r="D61" s="3" t="s">
        <x:v>10</x:v>
      </x:c>
      <x:c r="E61" s="15">
        <x:v>164.06</x:v>
      </x:c>
      <x:c r="F61" s="25" t="n">
        <x:f>MIN(E61,MAX(0,'Premium Lookup'!$F$2-SUMIFS($E$1:E60,$A$1:A60,A61)))</x:f>
        <x:v>164.06</x:v>
      </x:c>
      <x:c r="G61" s="25" t="n">
        <x:f t="shared" si="1">MAX(E61-F61,0)</x:f>
        <x:v>0</x:v>
      </x:c>
      <x:c r="H61"/>
      <x:c r="I61"/>
      <x:c r="J61"/>
    </x:row>
    <x:row r="62">
      <x:c r="A62" s="2" t="str">
        <x:v>Flores, Arden</x:v>
      </x:c>
      <x:c r="B62" s="2" t="s">
        <x:v>8</x:v>
      </x:c>
      <x:c r="C62" s="2" t="str">
        <x:v>Vision Plan Standard</x:v>
      </x:c>
      <x:c r="D62" s="2" t="s">
        <x:v>10</x:v>
      </x:c>
      <x:c r="E62" s="15">
        <x:v>27.18</x:v>
      </x:c>
      <x:c r="F62" s="25" t="n">
        <x:f>MIN(E62,MAX(0,'Premium Lookup'!$F$2-SUMIFS($E$1:E61,$A$1:A61,A62)))</x:f>
        <x:v>27.18</x:v>
      </x:c>
      <x:c r="G62" s="25" t="n">
        <x:f t="shared" si="1">MAX(E62-F62,0)</x:f>
        <x:v>0</x:v>
      </x:c>
      <x:c r="H62"/>
      <x:c r="I62"/>
      <x:c r="J62"/>
    </x:row>
    <x:row r="63">
      <x:c r="A63" s="3" t="str">
        <x:v>Gray, Bailey</x:v>
      </x:c>
      <x:c r="B63" s="3" t="s">
        <x:v>5</x:v>
      </x:c>
      <x:c r="C63" s="3" t="str">
        <x:v>Health Plan A</x:v>
      </x:c>
      <x:c r="D63" s="3" t="s">
        <x:v>11</x:v>
      </x:c>
      <x:c r="E63" s="15">
        <x:v>541.86</x:v>
      </x:c>
      <x:c r="F63" s="25" t="n">
        <x:f>MIN(E63,MAX(0,'Premium Lookup'!$F$2-SUMIFS($E$1:E62,$A$1:A62,A63)))</x:f>
        <x:v>541.86</x:v>
      </x:c>
      <x:c r="G63" s="25" t="n">
        <x:f t="shared" si="1">MAX(E63-F63,0)</x:f>
        <x:v>0</x:v>
      </x:c>
      <x:c r="H63"/>
      <x:c r="I63"/>
      <x:c r="J63"/>
    </x:row>
    <x:row r="64">
      <x:c r="A64" s="2" t="str">
        <x:v>Gray, Bailey</x:v>
      </x:c>
      <x:c r="B64" s="2" t="s">
        <x:v>7</x:v>
      </x:c>
      <x:c r="C64" s="2" t="str">
        <x:v>Dental Plan Standard</x:v>
      </x:c>
      <x:c r="D64" s="2" t="s">
        <x:v>11</x:v>
      </x:c>
      <x:c r="E64" s="15">
        <x:v>39.76</x:v>
      </x:c>
      <x:c r="F64" s="25" t="n">
        <x:f>MIN(E64,MAX(0,'Premium Lookup'!$F$2-SUMIFS($E$1:E63,$A$1:A63,A64)))</x:f>
        <x:v>39.76</x:v>
      </x:c>
      <x:c r="G64" s="25" t="n">
        <x:f t="shared" si="1">MAX(E64-F64,0)</x:f>
        <x:v>0</x:v>
      </x:c>
      <x:c r="H64"/>
      <x:c r="I64"/>
      <x:c r="J64"/>
    </x:row>
    <x:row r="65">
      <x:c r="A65" s="3" t="str">
        <x:v>Gray, Bailey</x:v>
      </x:c>
      <x:c r="B65" s="3" t="s">
        <x:v>8</x:v>
      </x:c>
      <x:c r="C65" s="3" t="str">
        <x:v>Vision Plan Standard</x:v>
      </x:c>
      <x:c r="D65" s="3" t="s">
        <x:v>11</x:v>
      </x:c>
      <x:c r="E65" s="15">
        <x:v>7.71</x:v>
      </x:c>
      <x:c r="F65" s="25" t="n">
        <x:f>MIN(E65,MAX(0,'Premium Lookup'!$F$2-SUMIFS($E$1:E64,$A$1:A64,A65)))</x:f>
        <x:v>7.71</x:v>
      </x:c>
      <x:c r="G65" s="25" t="n">
        <x:f t="shared" si="1">MAX(E65-F65,0)</x:f>
        <x:v>0</x:v>
      </x:c>
      <x:c r="H65"/>
      <x:c r="I65"/>
      <x:c r="J65"/>
    </x:row>
    <x:row r="66">
      <x:c r="A66" s="2" t="str">
        <x:v>Howard, Charlie</x:v>
      </x:c>
      <x:c r="B66" s="2" t="s">
        <x:v>5</x:v>
      </x:c>
      <x:c r="C66" s="2" t="str">
        <x:v>Health Plan A</x:v>
      </x:c>
      <x:c r="D66" s="2" t="s">
        <x:v>6</x:v>
      </x:c>
      <x:c r="E66" s="15">
        <x:v>1093.92</x:v>
      </x:c>
      <x:c r="F66" s="25" t="n">
        <x:f>MIN(E66,MAX(0,'Premium Lookup'!$F$2-SUMIFS($E$1:E65,$A$1:A65,A66)))</x:f>
        <x:v>900</x:v>
      </x:c>
      <x:c r="G66" s="25" t="n">
        <x:f t="shared" ref="G66:G96" si="2">MAX(E66-F66,0)</x:f>
        <x:v>193.92000000000007</x:v>
      </x:c>
      <x:c r="H66"/>
      <x:c r="I66"/>
      <x:c r="J66"/>
    </x:row>
    <x:row r="67">
      <x:c r="A67" s="3" t="str">
        <x:v>Howard, Charlie</x:v>
      </x:c>
      <x:c r="B67" s="3" t="s">
        <x:v>7</x:v>
      </x:c>
      <x:c r="C67" s="3" t="str">
        <x:v>Dental Plan Standard</x:v>
      </x:c>
      <x:c r="D67" s="3" t="s">
        <x:v>6</x:v>
      </x:c>
      <x:c r="E67" s="15">
        <x:v>79.290000000000006</x:v>
      </x:c>
      <x:c r="F67" s="25" t="n">
        <x:f>MIN(E67,MAX(0,'Premium Lookup'!$F$2-SUMIFS($E$1:E66,$A$1:A66,A67)))</x:f>
        <x:v>0</x:v>
      </x:c>
      <x:c r="G67" s="25" t="n">
        <x:f t="shared" si="2">MAX(E67-F67,0)</x:f>
        <x:v>79.29</x:v>
      </x:c>
      <x:c r="H67"/>
      <x:c r="I67"/>
      <x:c r="J67"/>
    </x:row>
    <x:row r="68">
      <x:c r="A68" s="2" t="str">
        <x:v>Howard, Charlie</x:v>
      </x:c>
      <x:c r="B68" s="2" t="s">
        <x:v>8</x:v>
      </x:c>
      <x:c r="C68" s="2" t="str">
        <x:v>Vision Plan Standard</x:v>
      </x:c>
      <x:c r="D68" s="2" t="s">
        <x:v>6</x:v>
      </x:c>
      <x:c r="E68" s="15">
        <x:v>15.42</x:v>
      </x:c>
      <x:c r="F68" s="25" t="n">
        <x:f>MIN(E68,MAX(0,'Premium Lookup'!$F$2-SUMIFS($E$1:E67,$A$1:A67,A68)))</x:f>
        <x:v>0</x:v>
      </x:c>
      <x:c r="G68" s="25" t="n">
        <x:f t="shared" si="2">MAX(E68-F68,0)</x:f>
        <x:v>15.42</x:v>
      </x:c>
      <x:c r="H68"/>
      <x:c r="I68"/>
      <x:c r="J68"/>
    </x:row>
    <x:row r="69">
      <x:c r="A69" s="3" t="str">
        <x:v>James, Elliott</x:v>
      </x:c>
      <x:c r="B69" s="3" t="s">
        <x:v>7</x:v>
      </x:c>
      <x:c r="C69" s="3" t="str">
        <x:v>Dental Plan Standard</x:v>
      </x:c>
      <x:c r="D69" s="3" t="s">
        <x:v>10</x:v>
      </x:c>
      <x:c r="E69" s="15">
        <x:v>164.06</x:v>
      </x:c>
      <x:c r="F69" s="25" t="n">
        <x:f>MIN(E69,MAX(0,'Premium Lookup'!$F$2-SUMIFS($E$1:E68,$A$1:A68,A69)))</x:f>
        <x:v>164.06</x:v>
      </x:c>
      <x:c r="G69" s="25" t="n">
        <x:f t="shared" si="2">MAX(E69-F69,0)</x:f>
        <x:v>0</x:v>
      </x:c>
      <x:c r="H69"/>
      <x:c r="I69"/>
      <x:c r="J69"/>
    </x:row>
    <x:row r="70">
      <x:c r="A70" s="2" t="str">
        <x:v>James, Elliott</x:v>
      </x:c>
      <x:c r="B70" s="2" t="s">
        <x:v>8</x:v>
      </x:c>
      <x:c r="C70" s="2" t="str">
        <x:v>Vision Plan Standard</x:v>
      </x:c>
      <x:c r="D70" s="2" t="s">
        <x:v>10</x:v>
      </x:c>
      <x:c r="E70" s="15">
        <x:v>27.18</x:v>
      </x:c>
      <x:c r="F70" s="25" t="n">
        <x:f>MIN(E70,MAX(0,'Premium Lookup'!$F$2-SUMIFS($E$1:E69,$A$1:A69,A70)))</x:f>
        <x:v>27.18</x:v>
      </x:c>
      <x:c r="G70" s="25" t="n">
        <x:f t="shared" si="2">MAX(E70-F70,0)</x:f>
        <x:v>0</x:v>
      </x:c>
      <x:c r="H70"/>
      <x:c r="I70"/>
      <x:c r="J70"/>
    </x:row>
    <x:row r="71">
      <x:c r="A71" s="3" t="str">
        <x:v>Kelly, Frankie</x:v>
      </x:c>
      <x:c r="B71" s="3" t="s">
        <x:v>8</x:v>
      </x:c>
      <x:c r="C71" s="3" t="str">
        <x:v>Vision Plan Standard</x:v>
      </x:c>
      <x:c r="D71" s="3" t="s">
        <x:v>9</x:v>
      </x:c>
      <x:c r="E71" s="15">
        <x:v>17.43</x:v>
      </x:c>
      <x:c r="F71" s="25" t="n">
        <x:f>MIN(E71,MAX(0,'Premium Lookup'!$F$2-SUMIFS($E$1:E70,$A$1:A70,A71)))</x:f>
        <x:v>17.43</x:v>
      </x:c>
      <x:c r="G71" s="25" t="n">
        <x:f t="shared" si="2">MAX(E71-F71,0)</x:f>
        <x:v>0</x:v>
      </x:c>
      <x:c r="H71"/>
      <x:c r="I71"/>
      <x:c r="J71"/>
    </x:row>
    <x:row r="72">
      <x:c r="A72" s="2" t="str">
        <x:v>Lopez, Harley</x:v>
      </x:c>
      <x:c r="B72" s="2" t="s">
        <x:v>7</x:v>
      </x:c>
      <x:c r="C72" s="2" t="str">
        <x:v>Dental Plan Standard</x:v>
      </x:c>
      <x:c r="D72" s="2" t="s">
        <x:v>11</x:v>
      </x:c>
      <x:c r="E72" s="15">
        <x:v>39.76</x:v>
      </x:c>
      <x:c r="F72" s="25" t="n">
        <x:f>MIN(E72,MAX(0,'Premium Lookup'!$F$2-SUMIFS($E$1:E71,$A$1:A71,A72)))</x:f>
        <x:v>39.76</x:v>
      </x:c>
      <x:c r="G72" s="25" t="n">
        <x:f t="shared" si="2">MAX(E72-F72,0)</x:f>
        <x:v>0</x:v>
      </x:c>
      <x:c r="H72"/>
      <x:c r="I72"/>
      <x:c r="J72"/>
    </x:row>
    <x:row r="73">
      <x:c r="A73" s="3" t="str">
        <x:v>Mitchell, Kennedy</x:v>
      </x:c>
      <x:c r="B73" s="3" t="s">
        <x:v>5</x:v>
      </x:c>
      <x:c r="C73" s="3" t="str">
        <x:v>Health Plan A</x:v>
      </x:c>
      <x:c r="D73" s="3" t="s">
        <x:v>11</x:v>
      </x:c>
      <x:c r="E73" s="15">
        <x:v>541.86</x:v>
      </x:c>
      <x:c r="F73" s="25" t="n">
        <x:f>MIN(E73,MAX(0,'Premium Lookup'!$F$2-SUMIFS($E$1:E72,$A$1:A72,A73)))</x:f>
        <x:v>541.86</x:v>
      </x:c>
      <x:c r="G73" s="25" t="n">
        <x:f t="shared" si="2">MAX(E73-F73,0)</x:f>
        <x:v>0</x:v>
      </x:c>
      <x:c r="H73"/>
      <x:c r="I73"/>
      <x:c r="J73"/>
    </x:row>
    <x:row r="74">
      <x:c r="A74" s="2" t="str">
        <x:v>Mitchell, Kennedy</x:v>
      </x:c>
      <x:c r="B74" s="2" t="s">
        <x:v>7</x:v>
      </x:c>
      <x:c r="C74" s="2" t="str">
        <x:v>Dental Plan Standard</x:v>
      </x:c>
      <x:c r="D74" s="2" t="s">
        <x:v>11</x:v>
      </x:c>
      <x:c r="E74" s="15">
        <x:v>39.76</x:v>
      </x:c>
      <x:c r="F74" s="25" t="n">
        <x:f>MIN(E74,MAX(0,'Premium Lookup'!$F$2-SUMIFS($E$1:E73,$A$1:A73,A74)))</x:f>
        <x:v>39.76</x:v>
      </x:c>
      <x:c r="G74" s="25" t="n">
        <x:f t="shared" si="2">MAX(E74-F74,0)</x:f>
        <x:v>0</x:v>
      </x:c>
      <x:c r="H74"/>
      <x:c r="I74"/>
      <x:c r="J74"/>
    </x:row>
    <x:row r="75">
      <x:c r="A75" s="3" t="str">
        <x:v>Mitchell, Kennedy</x:v>
      </x:c>
      <x:c r="B75" s="3" t="s">
        <x:v>8</x:v>
      </x:c>
      <x:c r="C75" s="3" t="str">
        <x:v>Vision Plan Standard</x:v>
      </x:c>
      <x:c r="D75" s="3" t="s">
        <x:v>11</x:v>
      </x:c>
      <x:c r="E75" s="15">
        <x:v>7.71</x:v>
      </x:c>
      <x:c r="F75" s="25" t="n">
        <x:f>MIN(E75,MAX(0,'Premium Lookup'!$F$2-SUMIFS($E$1:E74,$A$1:A74,A75)))</x:f>
        <x:v>7.71</x:v>
      </x:c>
      <x:c r="G75" s="25" t="n">
        <x:f t="shared" si="2">MAX(E75-F75,0)</x:f>
        <x:v>0</x:v>
      </x:c>
      <x:c r="H75"/>
      <x:c r="I75"/>
      <x:c r="J75"/>
    </x:row>
    <x:row r="76">
      <x:c r="A76" s="2" t="str">
        <x:v>Perry, Logan</x:v>
      </x:c>
      <x:c r="B76" s="2" t="s">
        <x:v>7</x:v>
      </x:c>
      <x:c r="C76" s="2" t="str">
        <x:v>Dental Plan Standard</x:v>
      </x:c>
      <x:c r="D76" s="2" t="s">
        <x:v>11</x:v>
      </x:c>
      <x:c r="E76" s="15">
        <x:v>39.76</x:v>
      </x:c>
      <x:c r="F76" s="25" t="n">
        <x:f>MIN(E76,MAX(0,'Premium Lookup'!$F$2-SUMIFS($E$1:E75,$A$1:A75,A76)))</x:f>
        <x:v>39.76</x:v>
      </x:c>
      <x:c r="G76" s="25" t="n">
        <x:f t="shared" si="2">MAX(E76-F76,0)</x:f>
        <x:v>0</x:v>
      </x:c>
      <x:c r="H76"/>
      <x:c r="I76"/>
      <x:c r="J76"/>
    </x:row>
    <x:row r="77">
      <x:c r="A77" s="3" t="str">
        <x:v>Perry, Logan</x:v>
      </x:c>
      <x:c r="B77" s="3" t="s">
        <x:v>8</x:v>
      </x:c>
      <x:c r="C77" s="3" t="str">
        <x:v>Vision Plan Standard</x:v>
      </x:c>
      <x:c r="D77" s="3" t="s">
        <x:v>11</x:v>
      </x:c>
      <x:c r="E77" s="15">
        <x:v>7.71</x:v>
      </x:c>
      <x:c r="F77" s="25" t="n">
        <x:f>MIN(E77,MAX(0,'Premium Lookup'!$F$2-SUMIFS($E$1:E76,$A$1:A76,A77)))</x:f>
        <x:v>7.71</x:v>
      </x:c>
      <x:c r="G77" s="25" t="n">
        <x:f t="shared" si="2">MAX(E77-F77,0)</x:f>
        <x:v>0</x:v>
      </x:c>
      <x:c r="H77"/>
      <x:c r="I77"/>
      <x:c r="J77"/>
    </x:row>
    <x:row r="78">
      <x:c r="A78" s="2" t="str">
        <x:v>Rivera, Micah</x:v>
      </x:c>
      <x:c r="B78" s="2" t="s">
        <x:v>5</x:v>
      </x:c>
      <x:c r="C78" s="2" t="str">
        <x:v>Health Plan A</x:v>
      </x:c>
      <x:c r="D78" s="2" t="s">
        <x:v>11</x:v>
      </x:c>
      <x:c r="E78" s="15">
        <x:v>541.86</x:v>
      </x:c>
      <x:c r="F78" s="25" t="n">
        <x:f>MIN(E78,MAX(0,'Premium Lookup'!$F$2-SUMIFS($E$1:E77,$A$1:A77,A78)))</x:f>
        <x:v>541.86</x:v>
      </x:c>
      <x:c r="G78" s="25" t="n">
        <x:f t="shared" si="2">MAX(E78-F78,0)</x:f>
        <x:v>0</x:v>
      </x:c>
      <x:c r="H78"/>
      <x:c r="I78"/>
      <x:c r="J78"/>
    </x:row>
    <x:row r="79">
      <x:c r="A79" s="3" t="str">
        <x:v>Rivera, Micah</x:v>
      </x:c>
      <x:c r="B79" s="3" t="s">
        <x:v>7</x:v>
      </x:c>
      <x:c r="C79" s="3" t="str">
        <x:v>Dental Plan Standard</x:v>
      </x:c>
      <x:c r="D79" s="3" t="s">
        <x:v>11</x:v>
      </x:c>
      <x:c r="E79" s="15">
        <x:v>39.76</x:v>
      </x:c>
      <x:c r="F79" s="25" t="n">
        <x:f>MIN(E79,MAX(0,'Premium Lookup'!$F$2-SUMIFS($E$1:E78,$A$1:A78,A79)))</x:f>
        <x:v>39.76</x:v>
      </x:c>
      <x:c r="G79" s="25" t="n">
        <x:f t="shared" si="2">MAX(E79-F79,0)</x:f>
        <x:v>0</x:v>
      </x:c>
      <x:c r="H79"/>
      <x:c r="I79"/>
      <x:c r="J79"/>
    </x:row>
    <x:row r="80">
      <x:c r="A80" s="2" t="str">
        <x:v>Rivera, Micah</x:v>
      </x:c>
      <x:c r="B80" s="2" t="s">
        <x:v>8</x:v>
      </x:c>
      <x:c r="C80" s="2" t="str">
        <x:v>Vision Plan Standard</x:v>
      </x:c>
      <x:c r="D80" s="2" t="s">
        <x:v>11</x:v>
      </x:c>
      <x:c r="E80" s="15">
        <x:v>7.71</x:v>
      </x:c>
      <x:c r="F80" s="25" t="n">
        <x:f>MIN(E80,MAX(0,'Premium Lookup'!$F$2-SUMIFS($E$1:E79,$A$1:A79,A80)))</x:f>
        <x:v>7.71</x:v>
      </x:c>
      <x:c r="G80" s="25" t="n">
        <x:f t="shared" si="2">MAX(E80-F80,0)</x:f>
        <x:v>0</x:v>
      </x:c>
      <x:c r="H80"/>
      <x:c r="I80"/>
      <x:c r="J80"/>
    </x:row>
    <x:row r="81">
      <x:c r="A81" s="3" t="str">
        <x:v>Stewart, Noel</x:v>
      </x:c>
      <x:c r="B81" s="3" t="s">
        <x:v>5</x:v>
      </x:c>
      <x:c r="C81" s="3" t="str">
        <x:v>Health Plan B</x:v>
      </x:c>
      <x:c r="D81" s="3" t="s">
        <x:v>6</x:v>
      </x:c>
      <x:c r="E81" s="15">
        <x:v>990.64</x:v>
      </x:c>
      <x:c r="F81" s="25" t="n">
        <x:f>MIN(E81,MAX(0,'Premium Lookup'!$F$2-SUMIFS($E$1:E80,$A$1:A80,A81)))</x:f>
        <x:v>900</x:v>
      </x:c>
      <x:c r="G81" s="25" t="n">
        <x:f t="shared" si="2">MAX(E81-F81,0)</x:f>
        <x:v>90.63999999999999</x:v>
      </x:c>
      <x:c r="H81"/>
      <x:c r="I81"/>
      <x:c r="J81"/>
    </x:row>
    <x:row r="82">
      <x:c r="A82" s="2" t="str">
        <x:v>Stewart, Noel</x:v>
      </x:c>
      <x:c r="B82" s="2" t="s">
        <x:v>7</x:v>
      </x:c>
      <x:c r="C82" s="2" t="str">
        <x:v>Dental Plan Standard</x:v>
      </x:c>
      <x:c r="D82" s="2" t="s">
        <x:v>6</x:v>
      </x:c>
      <x:c r="E82" s="15">
        <x:v>79.290000000000006</x:v>
      </x:c>
      <x:c r="F82" s="25" t="n">
        <x:f>MIN(E82,MAX(0,'Premium Lookup'!$F$2-SUMIFS($E$1:E81,$A$1:A81,A82)))</x:f>
        <x:v>0</x:v>
      </x:c>
      <x:c r="G82" s="25" t="n">
        <x:f t="shared" si="2">MAX(E82-F82,0)</x:f>
        <x:v>79.29</x:v>
      </x:c>
      <x:c r="H82"/>
      <x:c r="I82"/>
      <x:c r="J82"/>
    </x:row>
    <x:row r="83">
      <x:c r="A83" s="3" t="str">
        <x:v>Stewart, Noel</x:v>
      </x:c>
      <x:c r="B83" s="3" t="s">
        <x:v>8</x:v>
      </x:c>
      <x:c r="C83" s="3" t="str">
        <x:v>Vision Plan Standard</x:v>
      </x:c>
      <x:c r="D83" s="3" t="s">
        <x:v>6</x:v>
      </x:c>
      <x:c r="E83" s="15">
        <x:v>15.42</x:v>
      </x:c>
      <x:c r="F83" s="25" t="n">
        <x:f>MIN(E83,MAX(0,'Premium Lookup'!$F$2-SUMIFS($E$1:E82,$A$1:A82,A83)))</x:f>
        <x:v>0</x:v>
      </x:c>
      <x:c r="G83" s="25" t="n">
        <x:f t="shared" si="2">MAX(E83-F83,0)</x:f>
        <x:v>15.42</x:v>
      </x:c>
      <x:c r="H83"/>
      <x:c r="I83"/>
      <x:c r="J83"/>
    </x:row>
    <x:row r="84">
      <x:c r="A84" s="2" t="str">
        <x:v>Thomas, Phoenix</x:v>
      </x:c>
      <x:c r="B84" s="2" t="s">
        <x:v>5</x:v>
      </x:c>
      <x:c r="C84" s="2" t="str">
        <x:v>Health Plan B</x:v>
      </x:c>
      <x:c r="D84" s="2" t="s">
        <x:v>10</x:v>
      </x:c>
      <x:c r="E84" s="15">
        <x:v>1398.05</x:v>
      </x:c>
      <x:c r="F84" s="25" t="n">
        <x:f>MIN(E84,MAX(0,'Premium Lookup'!$F$2-SUMIFS($E$1:E83,$A$1:A83,A84)))</x:f>
        <x:v>900</x:v>
      </x:c>
      <x:c r="G84" s="25" t="n">
        <x:f t="shared" si="2">MAX(E84-F84,0)</x:f>
        <x:v>498.04999999999995</x:v>
      </x:c>
      <x:c r="H84"/>
      <x:c r="I84"/>
      <x:c r="J84"/>
    </x:row>
    <x:row r="85">
      <x:c r="A85" s="3" t="str">
        <x:v>Thomas, Phoenix</x:v>
      </x:c>
      <x:c r="B85" s="3" t="s">
        <x:v>7</x:v>
      </x:c>
      <x:c r="C85" s="3" t="str">
        <x:v>Dental Plan Standard</x:v>
      </x:c>
      <x:c r="D85" s="3" t="s">
        <x:v>10</x:v>
      </x:c>
      <x:c r="E85" s="15">
        <x:v>164.06</x:v>
      </x:c>
      <x:c r="F85" s="25" t="n">
        <x:f>MIN(E85,MAX(0,'Premium Lookup'!$F$2-SUMIFS($E$1:E84,$A$1:A84,A85)))</x:f>
        <x:v>0</x:v>
      </x:c>
      <x:c r="G85" s="25" t="n">
        <x:f t="shared" si="2">MAX(E85-F85,0)</x:f>
        <x:v>164.06</x:v>
      </x:c>
      <x:c r="H85"/>
      <x:c r="I85"/>
      <x:c r="J85"/>
    </x:row>
    <x:row r="86">
      <x:c r="A86" s="2" t="str">
        <x:v>Thomas, Phoenix</x:v>
      </x:c>
      <x:c r="B86" s="2" t="s">
        <x:v>8</x:v>
      </x:c>
      <x:c r="C86" s="2" t="str">
        <x:v>Vision Plan Standard</x:v>
      </x:c>
      <x:c r="D86" s="2" t="s">
        <x:v>10</x:v>
      </x:c>
      <x:c r="E86" s="15">
        <x:v>27.18</x:v>
      </x:c>
      <x:c r="F86" s="25" t="n">
        <x:f>MIN(E86,MAX(0,'Premium Lookup'!$F$2-SUMIFS($E$1:E85,$A$1:A85,A86)))</x:f>
        <x:v>0</x:v>
      </x:c>
      <x:c r="G86" s="25" t="n">
        <x:f t="shared" si="2">MAX(E86-F86,0)</x:f>
        <x:v>27.18</x:v>
      </x:c>
      <x:c r="H86"/>
      <x:c r="I86"/>
      <x:c r="J86"/>
    </x:row>
    <x:row r="87">
      <x:c r="A87" s="3" t="str">
        <x:v>Watson, Remy</x:v>
      </x:c>
      <x:c r="B87" s="3" t="s">
        <x:v>5</x:v>
      </x:c>
      <x:c r="C87" s="3" t="str">
        <x:v>Health Plan A</x:v>
      </x:c>
      <x:c r="D87" s="3" t="s">
        <x:v>6</x:v>
      </x:c>
      <x:c r="E87" s="15">
        <x:v>1093.92</x:v>
      </x:c>
      <x:c r="F87" s="25" t="n">
        <x:f>MIN(E87,MAX(0,'Premium Lookup'!$F$2-SUMIFS($E$1:E86,$A$1:A86,A87)))</x:f>
        <x:v>900</x:v>
      </x:c>
      <x:c r="G87" s="25" t="n">
        <x:f t="shared" si="2">MAX(E87-F87,0)</x:f>
        <x:v>193.92000000000007</x:v>
      </x:c>
      <x:c r="H87"/>
      <x:c r="I87"/>
      <x:c r="J87"/>
    </x:row>
    <x:row r="88">
      <x:c r="A88" s="2" t="str">
        <x:v>Watson, Remy</x:v>
      </x:c>
      <x:c r="B88" s="2" t="s">
        <x:v>7</x:v>
      </x:c>
      <x:c r="C88" s="2" t="str">
        <x:v>Dental Plan Standard</x:v>
      </x:c>
      <x:c r="D88" s="2" t="s">
        <x:v>6</x:v>
      </x:c>
      <x:c r="E88" s="15">
        <x:v>79.290000000000006</x:v>
      </x:c>
      <x:c r="F88" s="25" t="n">
        <x:f>MIN(E88,MAX(0,'Premium Lookup'!$F$2-SUMIFS($E$1:E87,$A$1:A87,A88)))</x:f>
        <x:v>0</x:v>
      </x:c>
      <x:c r="G88" s="25" t="n">
        <x:f t="shared" si="2">MAX(E88-F88,0)</x:f>
        <x:v>79.29</x:v>
      </x:c>
      <x:c r="H88"/>
      <x:c r="I88"/>
      <x:c r="J88"/>
    </x:row>
    <x:row r="89">
      <x:c r="A89" s="3" t="str">
        <x:v>Watson, Remy</x:v>
      </x:c>
      <x:c r="B89" s="3" t="s">
        <x:v>8</x:v>
      </x:c>
      <x:c r="C89" s="3" t="str">
        <x:v>Vision Plan Standard</x:v>
      </x:c>
      <x:c r="D89" s="3" t="s">
        <x:v>6</x:v>
      </x:c>
      <x:c r="E89" s="15">
        <x:v>15.42</x:v>
      </x:c>
      <x:c r="F89" s="25" t="n">
        <x:f>MIN(E89,MAX(0,'Premium Lookup'!$F$2-SUMIFS($E$1:E88,$A$1:A88,A89)))</x:f>
        <x:v>0</x:v>
      </x:c>
      <x:c r="G89" s="25" t="n">
        <x:f t="shared" si="2">MAX(E89-F89,0)</x:f>
        <x:v>15.42</x:v>
      </x:c>
      <x:c r="H89"/>
      <x:c r="I89"/>
      <x:c r="J89"/>
    </x:row>
    <x:row r="90">
      <x:c r="A90" s="2" t="str">
        <x:v>Ward, Sam</x:v>
      </x:c>
      <x:c r="B90" s="2" t="s">
        <x:v>7</x:v>
      </x:c>
      <x:c r="C90" s="2" t="str">
        <x:v>Dental Plan Standard</x:v>
      </x:c>
      <x:c r="D90" s="2" t="s">
        <x:v>10</x:v>
      </x:c>
      <x:c r="E90" s="15">
        <x:v>164.06</x:v>
      </x:c>
      <x:c r="F90" s="25" t="n">
        <x:f>MIN(E90,MAX(0,'Premium Lookup'!$F$2-SUMIFS($E$1:E89,$A$1:A89,A90)))</x:f>
        <x:v>164.06</x:v>
      </x:c>
      <x:c r="G90" s="25" t="n">
        <x:f t="shared" si="2">MAX(E90-F90,0)</x:f>
        <x:v>0</x:v>
      </x:c>
      <x:c r="H90"/>
      <x:c r="I90"/>
      <x:c r="J90"/>
    </x:row>
    <x:row r="91">
      <x:c r="A91" s="3" t="str">
        <x:v>Bennett, Terry</x:v>
      </x:c>
      <x:c r="B91" s="3" t="s">
        <x:v>7</x:v>
      </x:c>
      <x:c r="C91" s="3" t="str">
        <x:v>Dental Plan Standard</x:v>
      </x:c>
      <x:c r="D91" s="3" t="s">
        <x:v>11</x:v>
      </x:c>
      <x:c r="E91" s="15">
        <x:v>39.76</x:v>
      </x:c>
      <x:c r="F91" s="25" t="n">
        <x:f>MIN(E91,MAX(0,'Premium Lookup'!$F$2-SUMIFS($E$1:E90,$A$1:A90,A91)))</x:f>
        <x:v>39.76</x:v>
      </x:c>
      <x:c r="G91" s="25" t="n">
        <x:f t="shared" si="2">MAX(E91-F91,0)</x:f>
        <x:v>0</x:v>
      </x:c>
      <x:c r="H91"/>
      <x:c r="I91"/>
      <x:c r="J91"/>
    </x:row>
    <x:row r="92">
      <x:c r="A92" s="2" t="str">
        <x:v>Bennett, Terry</x:v>
      </x:c>
      <x:c r="B92" s="2" t="s">
        <x:v>8</x:v>
      </x:c>
      <x:c r="C92" s="2" t="str">
        <x:v>Vision Plan Standard</x:v>
      </x:c>
      <x:c r="D92" s="2" t="s">
        <x:v>11</x:v>
      </x:c>
      <x:c r="E92" s="15">
        <x:v>7.71</x:v>
      </x:c>
      <x:c r="F92" s="25" t="n">
        <x:f>MIN(E92,MAX(0,'Premium Lookup'!$F$2-SUMIFS($E$1:E91,$A$1:A91,A92)))</x:f>
        <x:v>7.71</x:v>
      </x:c>
      <x:c r="G92" s="25" t="n">
        <x:f t="shared" si="2">MAX(E92-F92,0)</x:f>
        <x:v>0</x:v>
      </x:c>
      <x:c r="H92"/>
      <x:c r="I92"/>
      <x:c r="J92"/>
    </x:row>
    <x:row r="93">
      <x:c r="A93" t="str">
        <x:v>Coleman, Wren</x:v>
      </x:c>
      <x:c r="B93" t="s">
        <x:v>7</x:v>
      </x:c>
      <x:c r="C93" t="str">
        <x:v>Dental Plan Standard</x:v>
      </x:c>
      <x:c r="D93" t="s">
        <x:v>11</x:v>
      </x:c>
      <x:c r="E93" s="15" t="n">
        <x:f>SUMIFS('Premium Lookup'!$C$2:$C$25,'Premium Lookup'!$A$2:$A$25,C93,'Premium Lookup'!$B$2:$B$25,D93)</x:f>
        <x:v>39.76</x:v>
      </x:c>
      <x:c r="F93" s="25" t="n">
        <x:f>MIN(E93,MAX(0,'Premium Lookup'!$F$2-SUMIFS($E$1:E92,$A$1:A92,A93)))</x:f>
        <x:v>39.76</x:v>
      </x:c>
      <x:c r="G93" s="25" t="n">
        <x:f t="shared" si="2">MAX(E93-F93,0)</x:f>
        <x:v>0</x:v>
      </x:c>
      <x:c r="H93"/>
      <x:c r="I93"/>
      <x:c r="J93"/>
    </x:row>
    <x:row r="94">
      <x:c r="A94" t="str">
        <x:v>Coleman, Wren</x:v>
      </x:c>
      <x:c r="B94" t="s">
        <x:v>8</x:v>
      </x:c>
      <x:c r="C94" t="str">
        <x:v>Vision Plan Standard</x:v>
      </x:c>
      <x:c r="D94" t="s">
        <x:v>11</x:v>
      </x:c>
      <x:c r="E94" s="15" t="n">
        <x:f>SUMIFS('Premium Lookup'!$C$2:$C$25,'Premium Lookup'!$A$2:$A$25,C94,'Premium Lookup'!$B$2:$B$25,D94)</x:f>
        <x:v>7.71</x:v>
      </x:c>
      <x:c r="F94" s="25" t="n">
        <x:f>MIN(E94,MAX(0,'Premium Lookup'!$F$2-SUMIFS($E$1:E93,$A$1:A93,A94)))</x:f>
        <x:v>7.71</x:v>
      </x:c>
      <x:c r="G94" s="25" t="n">
        <x:f t="shared" si="2">MAX(E94-F94,0)</x:f>
        <x:v>0</x:v>
      </x:c>
      <x:c r="H94"/>
      <x:c r="I94"/>
      <x:c r="J94"/>
    </x:row>
    <x:row r="95">
      <x:c r="A95" t="str">
        <x:v>Hughes, Sage</x:v>
      </x:c>
      <x:c r="B95" t="s">
        <x:v>7</x:v>
      </x:c>
      <x:c r="C95" t="str">
        <x:v>Dental Plan Standard</x:v>
      </x:c>
      <x:c r="D95" t="s">
        <x:v>10</x:v>
      </x:c>
      <x:c r="E95" s="15" t="n">
        <x:f>SUMIFS('Premium Lookup'!$C$2:$C$25,'Premium Lookup'!$A$2:$A$25,C95,'Premium Lookup'!$B$2:$B$25,D95)</x:f>
        <x:v>164.06</x:v>
      </x:c>
      <x:c r="F95" s="25" t="n">
        <x:f>MIN(E95,MAX(0,'Premium Lookup'!$F$2-SUMIFS($E$1:E94,$A$1:A94,A95)))</x:f>
        <x:v>164.06</x:v>
      </x:c>
      <x:c r="G95" s="25" t="n">
        <x:f t="shared" si="2">MAX(E95-F95,0)</x:f>
        <x:v>0</x:v>
      </x:c>
      <x:c r="H95"/>
      <x:c r="I95"/>
      <x:c r="J95"/>
    </x:row>
    <x:row r="96">
      <x:c r="A96" t="str">
        <x:v>Hughes, Sage</x:v>
      </x:c>
      <x:c r="B96" t="s">
        <x:v>8</x:v>
      </x:c>
      <x:c r="C96" t="str">
        <x:v>Vision Plan Standard</x:v>
      </x:c>
      <x:c r="D96" t="s">
        <x:v>10</x:v>
      </x:c>
      <x:c r="E96" s="15" t="n">
        <x:f>SUMIFS('Premium Lookup'!$C$2:$C$25,'Premium Lookup'!$A$2:$A$25,C96,'Premium Lookup'!$B$2:$B$25,D96)</x:f>
        <x:v>27.18</x:v>
      </x:c>
      <x:c r="F96" s="25" t="n">
        <x:f>MIN(E96,MAX(0,'Premium Lookup'!$F$2-SUMIFS($E$1:E95,$A$1:A95,A96)))</x:f>
        <x:v>27.18</x:v>
      </x:c>
      <x:c r="G96" s="25" t="n">
        <x:f t="shared" si="2">MAX(E96-F96,0)</x:f>
        <x:v>0</x:v>
      </x:c>
      <x:c r="H96"/>
      <x:c r="I96"/>
      <x:c r="J96"/>
    </x:row>
    <x:row r="97">
      <x:c r="A97"/>
      <x:c r="C97"/>
      <x:c r="E97" s="26" t="n">
        <x:f>SUM(E2:E96)</x:f>
        <x:v>28712.759999999987</x:v>
      </x:c>
      <x:c r="F97" s="26" t="n">
        <x:f t="shared" ref="F97:G97" si="3">SUM(F2:F96)</x:f>
        <x:v>21580.489999999994</x:v>
      </x:c>
      <x:c r="G97" s="26" t="n">
        <x:f t="shared" si="3">SUM(G2:G96)</x:f>
        <x:v>7132.270000000004</x:v>
      </x:c>
      <x:c r="H97"/>
      <x:c r="I97"/>
      <x:c r="J97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customWidth="1"/>
    <x:col min="2" max="2" width="24" customWidth="1"/>
    <x:col min="3" max="3" width="18" customWidth="1"/>
    <x:col min="5" max="5" width="24" customWidth="1"/>
    <x:col min="6" max="6" width="14" customWidth="1"/>
  </x:cols>
  <x:sheetData>
    <x:row r="1">
      <x:c r="A1" s="16" t="str">
        <x:v>Benefit Plan</x:v>
      </x:c>
      <x:c r="B1" s="16" t="str">
        <x:v>Coverage Tier</x:v>
      </x:c>
      <x:c r="C1" s="16" t="str">
        <x:v>Monthly Premium</x:v>
      </x:c>
      <x:c r="D1"/>
      <x:c r="E1" s="23" t="str">
        <x:v>Employer Contribution</x:v>
      </x:c>
      <x:c r="F1" s="23" t="str">
        <x:v>Monthly Cap</x:v>
      </x:c>
    </x:row>
    <x:row r="2">
      <x:c r="A2" s="17" t="str">
        <x:v>Health Plan A</x:v>
      </x:c>
      <x:c r="B2" s="17" t="str">
        <x:v>Employee</x:v>
      </x:c>
      <x:c r="C2" s="18" t="n">
        <x:v>541.86</x:v>
      </x:c>
      <x:c r="D2"/>
      <x:c r="E2" s="27" t="str">
        <x:v>Employer plan cap</x:v>
      </x:c>
      <x:c r="F2" s="18" t="n">
        <x:v>900</x:v>
      </x:c>
    </x:row>
    <x:row r="3">
      <x:c r="A3" s="17" t="str">
        <x:v>Health Plan A</x:v>
      </x:c>
      <x:c r="B3" s="17" t="str">
        <x:v>Employee + Spouse</x:v>
      </x:c>
      <x:c r="C3" s="18" t="n">
        <x:v>1093.92</x:v>
      </x:c>
      <x:c r="D3"/>
      <x:c r="E3"/>
      <x:c r="F3"/>
    </x:row>
    <x:row r="4">
      <x:c r="A4" s="17" t="str">
        <x:v>Health Plan A</x:v>
      </x:c>
      <x:c r="B4" s="17" t="str">
        <x:v>Employee + Children</x:v>
      </x:c>
      <x:c r="C4" s="18" t="n">
        <x:v>933.5</x:v>
      </x:c>
      <x:c r="D4"/>
      <x:c r="E4"/>
      <x:c r="F4"/>
    </x:row>
    <x:row r="5">
      <x:c r="A5" s="17" t="str">
        <x:v>Health Plan A</x:v>
      </x:c>
      <x:c r="B5" s="17" t="str">
        <x:v>Employee + Family</x:v>
      </x:c>
      <x:c r="C5" s="18" t="n">
        <x:v>1545.59</x:v>
      </x:c>
      <x:c r="D5"/>
      <x:c r="E5"/>
      <x:c r="F5"/>
    </x:row>
    <x:row r="6">
      <x:c r="A6" s="17" t="str">
        <x:v>Health Plan A - Project Alpha</x:v>
      </x:c>
      <x:c r="B6" s="17" t="str">
        <x:v>Employee</x:v>
      </x:c>
      <x:c r="C6" s="18" t="n">
        <x:v>541.86</x:v>
      </x:c>
      <x:c r="D6"/>
      <x:c r="E6"/>
      <x:c r="F6"/>
    </x:row>
    <x:row r="7">
      <x:c r="A7" s="17" t="str">
        <x:v>Health Plan A - Project Alpha</x:v>
      </x:c>
      <x:c r="B7" s="17" t="str">
        <x:v>Employee + Spouse</x:v>
      </x:c>
      <x:c r="C7" s="18" t="n">
        <x:v>1093.92</x:v>
      </x:c>
      <x:c r="D7"/>
      <x:c r="E7"/>
      <x:c r="F7"/>
    </x:row>
    <x:row r="8">
      <x:c r="A8" s="17" t="str">
        <x:v>Health Plan A - Project Alpha</x:v>
      </x:c>
      <x:c r="B8" s="17" t="str">
        <x:v>Employee + Children</x:v>
      </x:c>
      <x:c r="C8" s="18" t="n">
        <x:v>933.5</x:v>
      </x:c>
      <x:c r="D8"/>
      <x:c r="E8"/>
      <x:c r="F8"/>
    </x:row>
    <x:row r="9">
      <x:c r="A9" s="17" t="str">
        <x:v>Health Plan A - Project Alpha</x:v>
      </x:c>
      <x:c r="B9" s="17" t="str">
        <x:v>Employee + Family</x:v>
      </x:c>
      <x:c r="C9" s="18" t="n">
        <x:v>1545.59</x:v>
      </x:c>
      <x:c r="D9"/>
      <x:c r="E9"/>
      <x:c r="F9"/>
    </x:row>
    <x:row r="10">
      <x:c r="A10" s="17" t="str">
        <x:v>Health Plan B</x:v>
      </x:c>
      <x:c r="B10" s="17" t="str">
        <x:v>Employee</x:v>
      </x:c>
      <x:c r="C10" s="18" t="n">
        <x:v>492.26</x:v>
      </x:c>
      <x:c r="D10"/>
      <x:c r="E10"/>
      <x:c r="F10"/>
    </x:row>
    <x:row r="11">
      <x:c r="A11" s="17" t="str">
        <x:v>Health Plan B</x:v>
      </x:c>
      <x:c r="B11" s="17" t="str">
        <x:v>Employee + Spouse</x:v>
      </x:c>
      <x:c r="C11" s="18" t="n">
        <x:v>990.64</x:v>
      </x:c>
      <x:c r="D11"/>
      <x:c r="E11"/>
      <x:c r="F11"/>
    </x:row>
    <x:row r="12">
      <x:c r="A12" s="17" t="str">
        <x:v>Health Plan B</x:v>
      </x:c>
      <x:c r="B12" s="17" t="str">
        <x:v>Employee + Children</x:v>
      </x:c>
      <x:c r="C12" s="18" t="n">
        <x:v>900.1</x:v>
      </x:c>
      <x:c r="D12"/>
      <x:c r="E12"/>
      <x:c r="F12"/>
    </x:row>
    <x:row r="13">
      <x:c r="A13" s="17" t="str">
        <x:v>Health Plan B</x:v>
      </x:c>
      <x:c r="B13" s="17" t="str">
        <x:v>Employee + Family</x:v>
      </x:c>
      <x:c r="C13" s="18" t="n">
        <x:v>1398.05</x:v>
      </x:c>
      <x:c r="D13"/>
      <x:c r="E13"/>
      <x:c r="F13"/>
    </x:row>
    <x:row r="14">
      <x:c r="A14" s="17" t="str">
        <x:v>Dental Plan Standard</x:v>
      </x:c>
      <x:c r="B14" s="17" t="str">
        <x:v>Employee</x:v>
      </x:c>
      <x:c r="C14" s="18" t="n">
        <x:v>39.76</x:v>
      </x:c>
      <x:c r="D14"/>
      <x:c r="E14"/>
      <x:c r="F14"/>
    </x:row>
    <x:row r="15">
      <x:c r="A15" s="17" t="str">
        <x:v>Dental Plan Standard</x:v>
      </x:c>
      <x:c r="B15" s="17" t="str">
        <x:v>Employee + Spouse</x:v>
      </x:c>
      <x:c r="C15" s="18" t="n">
        <x:v>79.29</x:v>
      </x:c>
      <x:c r="D15"/>
      <x:c r="E15"/>
      <x:c r="F15"/>
    </x:row>
    <x:row r="16">
      <x:c r="A16" s="17" t="str">
        <x:v>Dental Plan Standard</x:v>
      </x:c>
      <x:c r="B16" s="17" t="str">
        <x:v>Employee + Children</x:v>
      </x:c>
      <x:c r="C16" s="18" t="n">
        <x:v>106.06</x:v>
      </x:c>
      <x:c r="D16"/>
      <x:c r="E16"/>
      <x:c r="F16"/>
    </x:row>
    <x:row r="17">
      <x:c r="A17" s="17" t="str">
        <x:v>Dental Plan Standard</x:v>
      </x:c>
      <x:c r="B17" s="17" t="str">
        <x:v>Employee + Family</x:v>
      </x:c>
      <x:c r="C17" s="18" t="n">
        <x:v>164.06</x:v>
      </x:c>
      <x:c r="D17"/>
      <x:c r="E17"/>
      <x:c r="F17"/>
    </x:row>
    <x:row r="18">
      <x:c r="A18" s="17" t="str">
        <x:v>Vision Plan Standard</x:v>
      </x:c>
      <x:c r="B18" s="17" t="str">
        <x:v>Employee</x:v>
      </x:c>
      <x:c r="C18" s="18" t="n">
        <x:v>7.71</x:v>
      </x:c>
      <x:c r="D18"/>
      <x:c r="E18"/>
      <x:c r="F18"/>
    </x:row>
    <x:row r="19">
      <x:c r="A19" s="17" t="str">
        <x:v>Vision Plan Standard</x:v>
      </x:c>
      <x:c r="B19" s="17" t="str">
        <x:v>Employee + Spouse</x:v>
      </x:c>
      <x:c r="C19" s="18" t="n">
        <x:v>15.42</x:v>
      </x:c>
      <x:c r="D19"/>
      <x:c r="E19"/>
      <x:c r="F19"/>
    </x:row>
    <x:row r="20">
      <x:c r="A20" s="17" t="str">
        <x:v>Vision Plan Standard</x:v>
      </x:c>
      <x:c r="B20" s="17" t="str">
        <x:v>Employee + Children</x:v>
      </x:c>
      <x:c r="C20" s="18" t="n">
        <x:v>17.43</x:v>
      </x:c>
      <x:c r="D20"/>
      <x:c r="E20"/>
      <x:c r="F20"/>
    </x:row>
    <x:row r="21">
      <x:c r="A21" s="17" t="str">
        <x:v>Vision Plan Standard</x:v>
      </x:c>
      <x:c r="B21" s="17" t="str">
        <x:v>Employee + Family</x:v>
      </x:c>
      <x:c r="C21" s="18" t="n">
        <x:v>27.18</x:v>
      </x:c>
      <x:c r="D21"/>
      <x:c r="E21"/>
      <x:c r="F21"/>
    </x:row>
    <x:row r="22">
      <x:c r="A22" s="17" t="str">
        <x:v>Project Beta Combined Benefits</x:v>
      </x:c>
      <x:c r="B22" s="17" t="str">
        <x:v>Employee</x:v>
      </x:c>
      <x:c r="C22" s="18" t="n">
        <x:v>870</x:v>
      </x:c>
      <x:c r="D22"/>
      <x:c r="E22"/>
      <x:c r="F22"/>
    </x:row>
    <x:row r="23">
      <x:c r="A23" s="17" t="str">
        <x:v>Project Beta Combined Benefits</x:v>
      </x:c>
      <x:c r="B23" s="17" t="str">
        <x:v>Employee + Spouse</x:v>
      </x:c>
      <x:c r="C23" s="18"/>
      <x:c r="D23"/>
      <x:c r="E23"/>
      <x:c r="F23"/>
    </x:row>
    <x:row r="24">
      <x:c r="A24" s="17" t="str">
        <x:v>Project Beta Combined Benefits</x:v>
      </x:c>
      <x:c r="B24" s="17" t="str">
        <x:v>Employee + Children</x:v>
      </x:c>
      <x:c r="C24" s="18"/>
      <x:c r="D24"/>
      <x:c r="E24"/>
      <x:c r="F24"/>
    </x:row>
    <x:row r="25">
      <x:c r="A25" s="17" t="str">
        <x:v>Project Beta Combined Benefits</x:v>
      </x:c>
      <x:c r="B25" s="17" t="str">
        <x:v>Employee + Family</x:v>
      </x:c>
      <x:c r="C25" s="18" t="n">
        <x:v>2470</x:v>
      </x:c>
      <x:c r="D25"/>
      <x:c r="E25"/>
      <x:c r="F25"/>
    </x:row>
  </x:sheetData>
  <x:pageMargins left="0.7" right="0.7" top="0.75" bottom="0.75" header="0.3" footer="0.3"/>
</x:worksheet>
</file>