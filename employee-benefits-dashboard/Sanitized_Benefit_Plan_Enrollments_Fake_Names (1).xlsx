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d1f4229bb5eb9d6/Portfolio/Employee Benefits Enrollment ^0 Premium Dashboard/"/>
    </mc:Choice>
  </mc:AlternateContent>
  <xr:revisionPtr revIDLastSave="49" documentId="11_DA703ADBBF375059872788CEBD397B1E1B782229" xr6:coauthVersionLast="47" xr6:coauthVersionMax="47" xr10:uidLastSave="{F2D311D3-AD68-4AE5-A43C-E35C08159F56}"/>
  <bookViews>
    <workbookView xWindow="57480" yWindow="-135" windowWidth="29040" windowHeight="15720" activeTab="1" xr2:uid="{00000000-000D-0000-FFFF-FFFF00000000}"/>
  </bookViews>
  <sheets>
    <sheet name="Enrollment Summary" sheetId="1" r:id="rId1"/>
    <sheet name="Enrollments" sheetId="2" r:id="rId2"/>
    <sheet name="Premium Looku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6" i="2" l="1"/>
  <c r="E96" i="2"/>
  <c r="G96" i="2" s="1"/>
  <c r="F95" i="2"/>
  <c r="E95" i="2"/>
  <c r="G95" i="2" s="1"/>
  <c r="F94" i="2"/>
  <c r="E94" i="2"/>
  <c r="G94" i="2" s="1"/>
  <c r="F93" i="2"/>
  <c r="G93" i="2" s="1"/>
  <c r="E93" i="2"/>
  <c r="E97" i="2" s="1"/>
  <c r="G92" i="2"/>
  <c r="F92" i="2"/>
  <c r="F91" i="2"/>
  <c r="G91" i="2" s="1"/>
  <c r="F90" i="2"/>
  <c r="G90" i="2" s="1"/>
  <c r="G89" i="2"/>
  <c r="F89" i="2"/>
  <c r="G88" i="2"/>
  <c r="F88" i="2"/>
  <c r="F87" i="2"/>
  <c r="G87" i="2" s="1"/>
  <c r="F86" i="2"/>
  <c r="G86" i="2" s="1"/>
  <c r="F85" i="2"/>
  <c r="G85" i="2" s="1"/>
  <c r="G84" i="2"/>
  <c r="F84" i="2"/>
  <c r="F83" i="2"/>
  <c r="G83" i="2" s="1"/>
  <c r="F82" i="2"/>
  <c r="G82" i="2" s="1"/>
  <c r="F81" i="2"/>
  <c r="G81" i="2" s="1"/>
  <c r="G80" i="2"/>
  <c r="F80" i="2"/>
  <c r="F79" i="2"/>
  <c r="G79" i="2" s="1"/>
  <c r="F78" i="2"/>
  <c r="G78" i="2" s="1"/>
  <c r="F77" i="2"/>
  <c r="G77" i="2" s="1"/>
  <c r="G76" i="2"/>
  <c r="F76" i="2"/>
  <c r="F75" i="2"/>
  <c r="G75" i="2" s="1"/>
  <c r="F74" i="2"/>
  <c r="G74" i="2" s="1"/>
  <c r="F73" i="2"/>
  <c r="G73" i="2" s="1"/>
  <c r="G72" i="2"/>
  <c r="F72" i="2"/>
  <c r="F71" i="2"/>
  <c r="G71" i="2" s="1"/>
  <c r="F70" i="2"/>
  <c r="G70" i="2" s="1"/>
  <c r="F69" i="2"/>
  <c r="G69" i="2" s="1"/>
  <c r="G68" i="2"/>
  <c r="F68" i="2"/>
  <c r="F67" i="2"/>
  <c r="G67" i="2" s="1"/>
  <c r="F66" i="2"/>
  <c r="G66" i="2" s="1"/>
  <c r="F65" i="2"/>
  <c r="G65" i="2" s="1"/>
  <c r="G64" i="2"/>
  <c r="F64" i="2"/>
  <c r="F63" i="2"/>
  <c r="G63" i="2" s="1"/>
  <c r="F62" i="2"/>
  <c r="G62" i="2" s="1"/>
  <c r="F61" i="2"/>
  <c r="G61" i="2" s="1"/>
  <c r="G60" i="2"/>
  <c r="F60" i="2"/>
  <c r="F59" i="2"/>
  <c r="G59" i="2" s="1"/>
  <c r="F58" i="2"/>
  <c r="G58" i="2" s="1"/>
  <c r="F57" i="2"/>
  <c r="G57" i="2" s="1"/>
  <c r="G56" i="2"/>
  <c r="F56" i="2"/>
  <c r="F55" i="2"/>
  <c r="G55" i="2" s="1"/>
  <c r="F54" i="2"/>
  <c r="G54" i="2" s="1"/>
  <c r="F53" i="2"/>
  <c r="G53" i="2" s="1"/>
  <c r="G52" i="2"/>
  <c r="F52" i="2"/>
  <c r="F51" i="2"/>
  <c r="G51" i="2" s="1"/>
  <c r="F50" i="2"/>
  <c r="G50" i="2" s="1"/>
  <c r="F49" i="2"/>
  <c r="G49" i="2" s="1"/>
  <c r="F48" i="2"/>
  <c r="G48" i="2" s="1"/>
  <c r="F47" i="2"/>
  <c r="G47" i="2" s="1"/>
  <c r="F46" i="2"/>
  <c r="G46" i="2" s="1"/>
  <c r="F45" i="2"/>
  <c r="G45" i="2" s="1"/>
  <c r="F44" i="2"/>
  <c r="G44" i="2" s="1"/>
  <c r="F43" i="2"/>
  <c r="G43" i="2" s="1"/>
  <c r="F42" i="2"/>
  <c r="G42" i="2" s="1"/>
  <c r="F41" i="2"/>
  <c r="G41" i="2" s="1"/>
  <c r="F40" i="2"/>
  <c r="G40" i="2" s="1"/>
  <c r="F39" i="2"/>
  <c r="G39" i="2" s="1"/>
  <c r="F38" i="2"/>
  <c r="G38" i="2" s="1"/>
  <c r="F37" i="2"/>
  <c r="G37" i="2" s="1"/>
  <c r="F36" i="2"/>
  <c r="G36" i="2" s="1"/>
  <c r="F35" i="2"/>
  <c r="G35" i="2" s="1"/>
  <c r="F34" i="2"/>
  <c r="G34" i="2" s="1"/>
  <c r="F33" i="2"/>
  <c r="G33" i="2" s="1"/>
  <c r="F32" i="2"/>
  <c r="G32" i="2" s="1"/>
  <c r="F31" i="2"/>
  <c r="G31" i="2" s="1"/>
  <c r="F30" i="2"/>
  <c r="G30" i="2" s="1"/>
  <c r="F29" i="2"/>
  <c r="G29" i="2" s="1"/>
  <c r="F28" i="2"/>
  <c r="G28" i="2" s="1"/>
  <c r="F27" i="2"/>
  <c r="G27" i="2" s="1"/>
  <c r="F26" i="2"/>
  <c r="G26" i="2" s="1"/>
  <c r="F25" i="2"/>
  <c r="G25" i="2" s="1"/>
  <c r="G24" i="2"/>
  <c r="F24" i="2"/>
  <c r="F23" i="2"/>
  <c r="G23" i="2" s="1"/>
  <c r="F22" i="2"/>
  <c r="G22" i="2" s="1"/>
  <c r="F21" i="2"/>
  <c r="G21" i="2" s="1"/>
  <c r="F20" i="2"/>
  <c r="G20" i="2" s="1"/>
  <c r="F19" i="2"/>
  <c r="G19" i="2" s="1"/>
  <c r="F18" i="2"/>
  <c r="G18" i="2" s="1"/>
  <c r="F17" i="2"/>
  <c r="G17" i="2" s="1"/>
  <c r="F16" i="2"/>
  <c r="G16" i="2" s="1"/>
  <c r="F15" i="2"/>
  <c r="G15" i="2" s="1"/>
  <c r="F14" i="2"/>
  <c r="G14" i="2" s="1"/>
  <c r="F13" i="2"/>
  <c r="G13" i="2" s="1"/>
  <c r="F12" i="2"/>
  <c r="G12" i="2" s="1"/>
  <c r="F11" i="2"/>
  <c r="G11" i="2" s="1"/>
  <c r="F10" i="2"/>
  <c r="G10" i="2" s="1"/>
  <c r="F9" i="2"/>
  <c r="G9" i="2" s="1"/>
  <c r="F8" i="2"/>
  <c r="G8" i="2" s="1"/>
  <c r="F7" i="2"/>
  <c r="G7" i="2" s="1"/>
  <c r="F6" i="2"/>
  <c r="G6" i="2" s="1"/>
  <c r="F5" i="2"/>
  <c r="G5" i="2" s="1"/>
  <c r="F4" i="2"/>
  <c r="G4" i="2" s="1"/>
  <c r="F3" i="2"/>
  <c r="G3" i="2" s="1"/>
  <c r="F2" i="2"/>
  <c r="F97" i="2" s="1"/>
  <c r="E7" i="1"/>
  <c r="D7" i="1"/>
  <c r="C7" i="1"/>
  <c r="B7" i="1"/>
  <c r="E6" i="1"/>
  <c r="D6" i="1"/>
  <c r="C6" i="1"/>
  <c r="B6" i="1"/>
  <c r="E5" i="1"/>
  <c r="D5" i="1"/>
  <c r="C5" i="1"/>
  <c r="B5" i="1"/>
  <c r="E4" i="1"/>
  <c r="D4" i="1"/>
  <c r="C4" i="1"/>
  <c r="B4" i="1"/>
  <c r="E3" i="1"/>
  <c r="D3" i="1"/>
  <c r="C3" i="1"/>
  <c r="B3" i="1"/>
  <c r="E2" i="1"/>
  <c r="D2" i="1"/>
  <c r="C2" i="1"/>
  <c r="B2" i="1"/>
  <c r="E8" i="1" l="1"/>
  <c r="D8" i="1"/>
  <c r="F7" i="1"/>
  <c r="C8" i="1"/>
  <c r="F3" i="1"/>
  <c r="F5" i="1"/>
  <c r="B8" i="1"/>
  <c r="F4" i="1"/>
  <c r="F6" i="1"/>
  <c r="F2" i="1"/>
  <c r="G2" i="2"/>
  <c r="G97" i="2" s="1"/>
  <c r="F8" i="1" l="1"/>
</calcChain>
</file>

<file path=xl/sharedStrings.xml><?xml version="1.0" encoding="utf-8"?>
<sst xmlns="http://schemas.openxmlformats.org/spreadsheetml/2006/main" count="496" uniqueCount="71">
  <si>
    <t>Employee Name</t>
  </si>
  <si>
    <t>Plan Type</t>
  </si>
  <si>
    <t>Coverage Tier</t>
  </si>
  <si>
    <t>Premium Total</t>
  </si>
  <si>
    <t>Employee Pays</t>
  </si>
  <si>
    <t>Health</t>
  </si>
  <si>
    <t>Employee + Spouse</t>
  </si>
  <si>
    <t>Dental</t>
  </si>
  <si>
    <t>Vision</t>
  </si>
  <si>
    <t>Employee + Children</t>
  </si>
  <si>
    <t>Employee + Family</t>
  </si>
  <si>
    <t>Employee</t>
  </si>
  <si>
    <t>Combined</t>
  </si>
  <si>
    <t>Benefit Plan</t>
  </si>
  <si>
    <t>Total</t>
  </si>
  <si>
    <t>Health Plan A</t>
  </si>
  <si>
    <t>Health Plan B</t>
  </si>
  <si>
    <t>Health Plan A - Project Alpha</t>
  </si>
  <si>
    <t>Dental Plan Standard</t>
  </si>
  <si>
    <t>Vision Plan Standard</t>
  </si>
  <si>
    <t>Project Beta Combined Benefits</t>
  </si>
  <si>
    <t>Employer Pays</t>
  </si>
  <si>
    <t>Adams, Avery</t>
  </si>
  <si>
    <t>Emloyee+ Spouse</t>
  </si>
  <si>
    <t>Baker, Jordan</t>
  </si>
  <si>
    <t>Employe+Family</t>
  </si>
  <si>
    <t>Carter, Morgan</t>
  </si>
  <si>
    <t>Diaz, Riley</t>
  </si>
  <si>
    <t>Evans, Cameron</t>
  </si>
  <si>
    <t>Foster, Taylor</t>
  </si>
  <si>
    <t>Garcia, Casey</t>
  </si>
  <si>
    <t>Hayes, Parker</t>
  </si>
  <si>
    <t>Irwin, Quinn</t>
  </si>
  <si>
    <t>Jackson, Reese</t>
  </si>
  <si>
    <t>Kim, Hayden</t>
  </si>
  <si>
    <t>Lewis, Skyler</t>
  </si>
  <si>
    <t>Moore, Rowan</t>
  </si>
  <si>
    <t>Nelson, Drew</t>
  </si>
  <si>
    <t>Ortiz, Emerson</t>
  </si>
  <si>
    <t>Price, Finley</t>
  </si>
  <si>
    <t>Reed, Dakota</t>
  </si>
  <si>
    <t>Scott, Kendall</t>
  </si>
  <si>
    <t>Turner, Payton</t>
  </si>
  <si>
    <t>Underwood, Jamie</t>
  </si>
  <si>
    <t>Vega, Alexis</t>
  </si>
  <si>
    <t>White, Sidney</t>
  </si>
  <si>
    <t>Young, Robin</t>
  </si>
  <si>
    <t>Brooks, Devin</t>
  </si>
  <si>
    <t>Campbell, Blair</t>
  </si>
  <si>
    <t>Cooper, Jesse</t>
  </si>
  <si>
    <t>Edwards, Marley</t>
  </si>
  <si>
    <t>Flores, Arden</t>
  </si>
  <si>
    <t>Gray, Bailey</t>
  </si>
  <si>
    <t>Howard, Charlie</t>
  </si>
  <si>
    <t>James, Elliott</t>
  </si>
  <si>
    <t>Kelly, Frankie</t>
  </si>
  <si>
    <t>Lopez, Harley</t>
  </si>
  <si>
    <t>Mitchell, Kennedy</t>
  </si>
  <si>
    <t>Perry, Logan</t>
  </si>
  <si>
    <t>Rivera, Micah</t>
  </si>
  <si>
    <t>Stewart, Noel</t>
  </si>
  <si>
    <t>Thomas, Phoenix</t>
  </si>
  <si>
    <t>Watson, Remy</t>
  </si>
  <si>
    <t>Ward, Sam</t>
  </si>
  <si>
    <t>Bennett, Terry</t>
  </si>
  <si>
    <t>Coleman, Wren</t>
  </si>
  <si>
    <t>Hughes, Sage</t>
  </si>
  <si>
    <t>Monthly Premium</t>
  </si>
  <si>
    <t>Employer Contribution</t>
  </si>
  <si>
    <t>Monthly Cap</t>
  </si>
  <si>
    <t>Employer plan 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</si>
</sst>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\$#,##0.00"/>
  </numFmts>
  <fonts count="7" x14ac:knownFonts="1">
    <font>
      <sz val="11"/>
      <color theme="1"/>
      <name val="Calibri"/>
    </font>
    <font>
      <b/>
      <sz val="11"/>
      <color rgb="FFFFFFFF"/>
      <name val="Calibri"/>
    </font>
    <font>
      <sz val="11"/>
      <color theme="1"/>
      <name val="Calibri"/>
    </font>
    <font>
      <sz val="11"/>
      <color theme="0"/>
      <name val="Calibri"/>
    </font>
    <font>
      <sz val="11"/>
      <color rgb="FF111827"/>
      <name val="Calibri"/>
    </font>
    <font>
      <b/>
      <sz val="11"/>
      <color rgb="FF111827"/>
      <name val="Calibri"/>
    </font>
    <font>
      <b/>
      <sz val="11"/>
      <color rgb="FFFA7D00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333333"/>
      </patternFill>
    </fill>
    <fill>
      <patternFill patternType="solid">
        <fgColor rgb="FFF9F9F9"/>
      </patternFill>
    </fill>
    <fill>
      <patternFill patternType="solid">
        <fgColor rgb="FFFFFFFF"/>
      </patternFill>
    </fill>
    <fill>
      <patternFill patternType="solid">
        <fgColor rgb="FF1F2937"/>
      </patternFill>
    </fill>
    <fill>
      <patternFill patternType="solid">
        <fgColor theme="4"/>
      </patternFill>
    </fill>
    <fill>
      <patternFill patternType="solid">
        <fgColor theme="0"/>
      </patternFill>
    </fill>
    <fill>
      <patternFill patternType="solid">
        <fgColor rgb="FF1F2937"/>
      </patternFill>
    </fill>
    <fill>
      <patternFill patternType="solid">
        <fgColor rgb="FFFFFFFF"/>
      </patternFill>
    </fill>
    <fill>
      <patternFill patternType="solid">
        <fgColor rgb="FF22D3C5"/>
      </patternFill>
    </fill>
    <fill>
      <patternFill patternType="solid">
        <fgColor rgb="FF1F2937"/>
      </patternFill>
    </fill>
    <fill>
      <patternFill patternType="solid">
        <fgColor rgb="FF333333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6" borderId="0" applyNumberFormat="0" applyBorder="0" applyAlignment="0" applyProtection="0"/>
    <xf numFmtId="0" fontId="6" fillId="13" borderId="5" applyNumberFormat="0" applyAlignment="0" applyProtection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7" borderId="4" xfId="1" applyFont="1" applyFill="1" applyBorder="1"/>
    <xf numFmtId="164" fontId="2" fillId="7" borderId="4" xfId="1" applyNumberFormat="1" applyFont="1" applyFill="1" applyBorder="1"/>
    <xf numFmtId="165" fontId="2" fillId="7" borderId="4" xfId="1" applyNumberFormat="1" applyFont="1" applyFill="1" applyBorder="1"/>
    <xf numFmtId="164" fontId="0" fillId="0" borderId="0" xfId="0" applyNumberFormat="1"/>
    <xf numFmtId="0" fontId="1" fillId="8" borderId="2" xfId="0" applyFont="1" applyFill="1" applyBorder="1" applyAlignment="1">
      <alignment horizontal="center"/>
    </xf>
    <xf numFmtId="0" fontId="0" fillId="0" borderId="2" xfId="0" applyBorder="1"/>
    <xf numFmtId="164" fontId="0" fillId="0" borderId="2" xfId="0" applyNumberFormat="1" applyBorder="1"/>
    <xf numFmtId="0" fontId="4" fillId="9" borderId="2" xfId="0" applyFont="1" applyFill="1" applyBorder="1" applyAlignment="1">
      <alignment horizontal="left" vertical="center"/>
    </xf>
    <xf numFmtId="0" fontId="4" fillId="9" borderId="2" xfId="0" applyFont="1" applyFill="1" applyBorder="1" applyAlignment="1">
      <alignment horizontal="center" vertical="center"/>
    </xf>
    <xf numFmtId="0" fontId="5" fillId="10" borderId="2" xfId="0" applyFont="1" applyFill="1" applyBorder="1"/>
    <xf numFmtId="0" fontId="5" fillId="10" borderId="2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2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right"/>
    </xf>
    <xf numFmtId="164" fontId="6" fillId="13" borderId="5" xfId="2" applyNumberFormat="1"/>
    <xf numFmtId="0" fontId="2" fillId="0" borderId="2" xfId="0" applyFont="1" applyBorder="1"/>
  </cellXfs>
  <cellStyles count="3">
    <cellStyle name="Accent1" xfId="1" xr:uid="{00000000-0005-0000-0000-000000000000}"/>
    <cellStyle name="Calculation" xfId="2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"/>
  <sheetViews>
    <sheetView workbookViewId="0">
      <selection sqref="A1:XFD1048576"/>
    </sheetView>
  </sheetViews>
  <sheetFormatPr defaultRowHeight="14.5" x14ac:dyDescent="0.35"/>
  <cols>
    <col min="1" max="1" width="28.453125" bestFit="1" customWidth="1"/>
    <col min="2" max="2" width="9.36328125" bestFit="1" customWidth="1"/>
    <col min="3" max="3" width="18.6328125" bestFit="1" customWidth="1"/>
    <col min="4" max="4" width="17" bestFit="1" customWidth="1"/>
    <col min="5" max="5" width="17.54296875" bestFit="1" customWidth="1"/>
    <col min="6" max="6" width="5.1796875" bestFit="1" customWidth="1"/>
  </cols>
  <sheetData>
    <row r="1" spans="1:6" x14ac:dyDescent="0.35">
      <c r="A1" s="4" t="s">
        <v>13</v>
      </c>
      <c r="B1" s="4" t="s">
        <v>11</v>
      </c>
      <c r="C1" s="4" t="s">
        <v>9</v>
      </c>
      <c r="D1" s="4" t="s">
        <v>10</v>
      </c>
      <c r="E1" s="4" t="s">
        <v>6</v>
      </c>
      <c r="F1" s="4" t="s">
        <v>14</v>
      </c>
    </row>
    <row r="2" spans="1:6" x14ac:dyDescent="0.35">
      <c r="A2" s="5" t="s">
        <v>15</v>
      </c>
      <c r="B2" s="6">
        <f>COUNTIFS(Enrollments!$C$2:$C$96,$A2,Enrollments!$D$2:$D$96,B$1)</f>
        <v>7</v>
      </c>
      <c r="C2" s="6">
        <f>COUNTIFS(Enrollments!$C$2:$C$96,$A2,Enrollments!$D$2:$D$96,C$1)</f>
        <v>1</v>
      </c>
      <c r="D2" s="6">
        <f>COUNTIFS(Enrollments!$C$2:$C$96,$A2,Enrollments!$D$2:$D$96,D$1)</f>
        <v>1</v>
      </c>
      <c r="E2" s="6">
        <f>COUNTIFS(Enrollments!$C$2:$C$96,$A2,Enrollments!$D$2:$D$96,E$1)</f>
        <v>3</v>
      </c>
      <c r="F2" s="6">
        <f t="shared" ref="F2:F7" si="0">SUM(B2:E2)</f>
        <v>12</v>
      </c>
    </row>
    <row r="3" spans="1:6" x14ac:dyDescent="0.35">
      <c r="A3" s="5" t="s">
        <v>16</v>
      </c>
      <c r="B3" s="6">
        <f>COUNTIFS(Enrollments!$C$2:$C$96,$A3,Enrollments!$D$2:$D$96,B$1)</f>
        <v>4</v>
      </c>
      <c r="C3" s="6">
        <f>COUNTIFS(Enrollments!$C$2:$C$96,$A3,Enrollments!$D$2:$D$96,C$1)</f>
        <v>3</v>
      </c>
      <c r="D3" s="6">
        <f>COUNTIFS(Enrollments!$C$2:$C$96,$A3,Enrollments!$D$2:$D$96,D$1)</f>
        <v>1</v>
      </c>
      <c r="E3" s="6">
        <f>COUNTIFS(Enrollments!$C$2:$C$96,$A3,Enrollments!$D$2:$D$96,E$1)</f>
        <v>1</v>
      </c>
      <c r="F3" s="6">
        <f t="shared" si="0"/>
        <v>9</v>
      </c>
    </row>
    <row r="4" spans="1:6" x14ac:dyDescent="0.35">
      <c r="A4" s="5" t="s">
        <v>17</v>
      </c>
      <c r="B4" s="6">
        <f>COUNTIFS(Enrollments!$C$2:$C$96,$A4,Enrollments!$D$2:$D$96,B$1)</f>
        <v>0</v>
      </c>
      <c r="C4" s="6">
        <f>COUNTIFS(Enrollments!$C$2:$C$96,$A4,Enrollments!$D$2:$D$96,C$1)</f>
        <v>0</v>
      </c>
      <c r="D4" s="6">
        <f>COUNTIFS(Enrollments!$C$2:$C$96,$A4,Enrollments!$D$2:$D$96,D$1)</f>
        <v>1</v>
      </c>
      <c r="E4" s="6">
        <f>COUNTIFS(Enrollments!$C$2:$C$96,$A4,Enrollments!$D$2:$D$96,E$1)</f>
        <v>0</v>
      </c>
      <c r="F4" s="6">
        <f t="shared" si="0"/>
        <v>1</v>
      </c>
    </row>
    <row r="5" spans="1:6" x14ac:dyDescent="0.35">
      <c r="A5" s="5" t="s">
        <v>18</v>
      </c>
      <c r="B5" s="6">
        <f>COUNTIFS(Enrollments!$C$2:$C$96,$A5,Enrollments!$D$2:$D$96,B$1)</f>
        <v>16</v>
      </c>
      <c r="C5" s="6">
        <f>COUNTIFS(Enrollments!$C$2:$C$96,$A5,Enrollments!$D$2:$D$96,C$1)</f>
        <v>3</v>
      </c>
      <c r="D5" s="6">
        <f>COUNTIFS(Enrollments!$C$2:$C$96,$A5,Enrollments!$D$2:$D$96,D$1)</f>
        <v>11</v>
      </c>
      <c r="E5" s="6">
        <f>COUNTIFS(Enrollments!$C$2:$C$96,$A5,Enrollments!$D$2:$D$96,E$1)</f>
        <v>8</v>
      </c>
      <c r="F5" s="6">
        <f t="shared" si="0"/>
        <v>38</v>
      </c>
    </row>
    <row r="6" spans="1:6" x14ac:dyDescent="0.35">
      <c r="A6" s="5" t="s">
        <v>19</v>
      </c>
      <c r="B6" s="6">
        <f>COUNTIFS(Enrollments!$C$2:$C$96,$A6,Enrollments!$D$2:$D$96,B$1)</f>
        <v>14</v>
      </c>
      <c r="C6" s="6">
        <f>COUNTIFS(Enrollments!$C$2:$C$96,$A6,Enrollments!$D$2:$D$96,C$1)</f>
        <v>3</v>
      </c>
      <c r="D6" s="6">
        <f>COUNTIFS(Enrollments!$C$2:$C$96,$A6,Enrollments!$D$2:$D$96,D$1)</f>
        <v>9</v>
      </c>
      <c r="E6" s="6">
        <f>COUNTIFS(Enrollments!$C$2:$C$96,$A6,Enrollments!$D$2:$D$96,E$1)</f>
        <v>5</v>
      </c>
      <c r="F6" s="6">
        <f t="shared" si="0"/>
        <v>31</v>
      </c>
    </row>
    <row r="7" spans="1:6" x14ac:dyDescent="0.35">
      <c r="A7" s="15" t="s">
        <v>20</v>
      </c>
      <c r="B7" s="16">
        <f>COUNTIFS(Enrollments!$C$2:$C$96,$A7,Enrollments!$D$2:$D$96,B$1)</f>
        <v>2</v>
      </c>
      <c r="C7" s="16">
        <f>COUNTIFS(Enrollments!$C$2:$C$96,$A7,Enrollments!$D$2:$D$96,C$1)</f>
        <v>0</v>
      </c>
      <c r="D7" s="16">
        <f>COUNTIFS(Enrollments!$C$2:$C$96,$A7,Enrollments!$D$2:$D$96,D$1)</f>
        <v>2</v>
      </c>
      <c r="E7" s="16">
        <f>COUNTIFS(Enrollments!$C$2:$C$96,$A7,Enrollments!$D$2:$D$96,E$1)</f>
        <v>0</v>
      </c>
      <c r="F7" s="16">
        <f t="shared" si="0"/>
        <v>4</v>
      </c>
    </row>
    <row r="8" spans="1:6" x14ac:dyDescent="0.35">
      <c r="A8" s="17" t="s">
        <v>14</v>
      </c>
      <c r="B8" s="18">
        <f>SUM(B2:B7)</f>
        <v>43</v>
      </c>
      <c r="C8" s="18">
        <f>SUM(C2:C7)</f>
        <v>10</v>
      </c>
      <c r="D8" s="18">
        <f>SUM(D2:D7)</f>
        <v>25</v>
      </c>
      <c r="E8" s="18">
        <f>SUM(E2:E7)</f>
        <v>17</v>
      </c>
      <c r="F8" s="18">
        <f>SUM(F2:F7)</f>
        <v>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0E2D7"/>
  </sheetPr>
  <dimension ref="A1:M97"/>
  <sheetViews>
    <sheetView tabSelected="1" workbookViewId="0">
      <selection activeCell="F4" sqref="F4"/>
    </sheetView>
  </sheetViews>
  <sheetFormatPr defaultRowHeight="14.5" x14ac:dyDescent="0.35"/>
  <cols>
    <col min="1" max="1" width="24" customWidth="1"/>
    <col min="2" max="2" width="12" customWidth="1"/>
    <col min="3" max="3" width="44" customWidth="1"/>
    <col min="4" max="4" width="22" customWidth="1"/>
    <col min="5" max="5" width="18.7265625" customWidth="1"/>
    <col min="6" max="7" width="16" customWidth="1"/>
    <col min="8" max="8" width="14.6328125" customWidth="1"/>
    <col min="9" max="9" width="19.54296875" customWidth="1"/>
    <col min="10" max="10" width="17.81640625" customWidth="1"/>
    <col min="11" max="11" width="5.26953125" customWidth="1"/>
    <col min="12" max="12" width="21.90625" customWidth="1"/>
    <col min="13" max="13" width="17.6328125" customWidth="1"/>
  </cols>
  <sheetData>
    <row r="1" spans="1:13" x14ac:dyDescent="0.35">
      <c r="A1" s="1" t="s">
        <v>0</v>
      </c>
      <c r="B1" s="1" t="s">
        <v>1</v>
      </c>
      <c r="C1" s="1" t="s">
        <v>13</v>
      </c>
      <c r="D1" s="1" t="s">
        <v>2</v>
      </c>
      <c r="E1" s="7" t="s">
        <v>3</v>
      </c>
      <c r="F1" s="20" t="s">
        <v>21</v>
      </c>
      <c r="G1" s="20" t="s">
        <v>4</v>
      </c>
      <c r="I1" s="20" t="s">
        <v>15</v>
      </c>
      <c r="J1" s="20" t="s">
        <v>3</v>
      </c>
      <c r="L1" s="20" t="s">
        <v>16</v>
      </c>
      <c r="M1" s="20" t="s">
        <v>3</v>
      </c>
    </row>
    <row r="2" spans="1:13" x14ac:dyDescent="0.35">
      <c r="A2" s="2" t="s">
        <v>22</v>
      </c>
      <c r="B2" s="2" t="s">
        <v>5</v>
      </c>
      <c r="C2" s="2" t="s">
        <v>15</v>
      </c>
      <c r="D2" s="2" t="s">
        <v>6</v>
      </c>
      <c r="E2" s="11">
        <v>1093.92</v>
      </c>
      <c r="F2" s="21">
        <f>MIN(E2,MAX(0,'Premium Lookup'!$F$2-SUMIFS($E$1:E1,$A$1:A1,A2)))</f>
        <v>900</v>
      </c>
      <c r="G2" s="21">
        <f t="shared" ref="G2:G33" si="0">MAX(E2-F2,0)</f>
        <v>193.92000000000007</v>
      </c>
      <c r="I2" s="8" t="s">
        <v>11</v>
      </c>
      <c r="J2" s="9">
        <v>541.86</v>
      </c>
      <c r="L2" s="8" t="s">
        <v>11</v>
      </c>
      <c r="M2" s="9">
        <v>492.26</v>
      </c>
    </row>
    <row r="3" spans="1:13" x14ac:dyDescent="0.35">
      <c r="A3" s="3" t="s">
        <v>22</v>
      </c>
      <c r="B3" s="3" t="s">
        <v>7</v>
      </c>
      <c r="C3" s="3" t="s">
        <v>18</v>
      </c>
      <c r="D3" s="3" t="s">
        <v>6</v>
      </c>
      <c r="E3" s="11">
        <v>79.290000000000006</v>
      </c>
      <c r="F3" s="21">
        <f>MIN(E3,MAX(0,'Premium Lookup'!$F$2-SUMIFS($E$1:E2,$A$1:A2,A3)))</f>
        <v>0</v>
      </c>
      <c r="G3" s="21">
        <f t="shared" si="0"/>
        <v>79.290000000000006</v>
      </c>
      <c r="I3" s="8" t="s">
        <v>23</v>
      </c>
      <c r="J3" s="9">
        <v>1093.92</v>
      </c>
      <c r="L3" s="8" t="s">
        <v>23</v>
      </c>
      <c r="M3" s="9">
        <v>990.64</v>
      </c>
    </row>
    <row r="4" spans="1:13" x14ac:dyDescent="0.35">
      <c r="A4" s="2" t="s">
        <v>22</v>
      </c>
      <c r="B4" s="2" t="s">
        <v>8</v>
      </c>
      <c r="C4" s="2" t="s">
        <v>19</v>
      </c>
      <c r="D4" s="2" t="s">
        <v>6</v>
      </c>
      <c r="E4" s="11">
        <v>15.42</v>
      </c>
      <c r="F4" s="21">
        <f>MIN(E4,MAX(0,'Premium Lookup'!$F$2-SUMIFS($E$1:E3,$A$1:A3,A4)))</f>
        <v>0</v>
      </c>
      <c r="G4" s="21">
        <f t="shared" si="0"/>
        <v>15.42</v>
      </c>
      <c r="I4" s="8" t="s">
        <v>9</v>
      </c>
      <c r="J4" s="9">
        <v>933.5</v>
      </c>
      <c r="L4" s="8" t="s">
        <v>9</v>
      </c>
      <c r="M4" s="9">
        <v>900.1</v>
      </c>
    </row>
    <row r="5" spans="1:13" x14ac:dyDescent="0.35">
      <c r="A5" s="3" t="s">
        <v>24</v>
      </c>
      <c r="B5" s="3" t="s">
        <v>5</v>
      </c>
      <c r="C5" s="3" t="s">
        <v>15</v>
      </c>
      <c r="D5" s="3" t="s">
        <v>9</v>
      </c>
      <c r="E5" s="11">
        <v>933.5</v>
      </c>
      <c r="F5" s="21">
        <f>MIN(E5,MAX(0,'Premium Lookup'!$F$2-SUMIFS($E$1:E4,$A$1:A4,A5)))</f>
        <v>900</v>
      </c>
      <c r="G5" s="21">
        <f t="shared" si="0"/>
        <v>33.5</v>
      </c>
      <c r="I5" s="8" t="s">
        <v>25</v>
      </c>
      <c r="J5" s="9">
        <v>1545.59</v>
      </c>
      <c r="L5" s="8" t="s">
        <v>25</v>
      </c>
      <c r="M5" s="9">
        <v>1398.05</v>
      </c>
    </row>
    <row r="6" spans="1:13" x14ac:dyDescent="0.35">
      <c r="A6" s="2" t="s">
        <v>24</v>
      </c>
      <c r="B6" s="2" t="s">
        <v>7</v>
      </c>
      <c r="C6" s="2" t="s">
        <v>18</v>
      </c>
      <c r="D6" s="2" t="s">
        <v>10</v>
      </c>
      <c r="E6" s="11">
        <v>164.06</v>
      </c>
      <c r="F6" s="21">
        <f>MIN(E6,MAX(0,'Premium Lookup'!$F$2-SUMIFS($E$1:E5,$A$1:A5,A6)))</f>
        <v>0</v>
      </c>
      <c r="G6" s="21">
        <f t="shared" si="0"/>
        <v>164.06</v>
      </c>
      <c r="I6" s="8" t="s">
        <v>14</v>
      </c>
      <c r="J6" s="9"/>
      <c r="L6" s="8" t="s">
        <v>14</v>
      </c>
      <c r="M6" s="9"/>
    </row>
    <row r="7" spans="1:13" x14ac:dyDescent="0.35">
      <c r="A7" s="3" t="s">
        <v>24</v>
      </c>
      <c r="B7" s="3" t="s">
        <v>8</v>
      </c>
      <c r="C7" s="3" t="s">
        <v>19</v>
      </c>
      <c r="D7" s="3" t="s">
        <v>10</v>
      </c>
      <c r="E7" s="11">
        <v>27.18</v>
      </c>
      <c r="F7" s="21">
        <f>MIN(E7,MAX(0,'Premium Lookup'!$F$2-SUMIFS($E$1:E6,$A$1:A6,A7)))</f>
        <v>0</v>
      </c>
      <c r="G7" s="21">
        <f t="shared" si="0"/>
        <v>27.18</v>
      </c>
      <c r="I7" s="20" t="s">
        <v>18</v>
      </c>
      <c r="J7" s="20" t="s">
        <v>3</v>
      </c>
      <c r="L7" s="20" t="s">
        <v>18</v>
      </c>
      <c r="M7" s="20" t="s">
        <v>3</v>
      </c>
    </row>
    <row r="8" spans="1:13" x14ac:dyDescent="0.35">
      <c r="A8" s="2" t="s">
        <v>26</v>
      </c>
      <c r="B8" s="2" t="s">
        <v>5</v>
      </c>
      <c r="C8" s="2" t="s">
        <v>16</v>
      </c>
      <c r="D8" s="2" t="s">
        <v>11</v>
      </c>
      <c r="E8" s="11">
        <v>492.26</v>
      </c>
      <c r="F8" s="21">
        <f>MIN(E8,MAX(0,'Premium Lookup'!$F$2-SUMIFS($E$1:E7,$A$1:A7,A8)))</f>
        <v>492.26</v>
      </c>
      <c r="G8" s="21">
        <f t="shared" si="0"/>
        <v>0</v>
      </c>
      <c r="I8" s="8" t="s">
        <v>11</v>
      </c>
      <c r="J8" s="9">
        <v>39.76</v>
      </c>
      <c r="L8" s="8" t="s">
        <v>11</v>
      </c>
      <c r="M8" s="9">
        <v>39.76</v>
      </c>
    </row>
    <row r="9" spans="1:13" x14ac:dyDescent="0.35">
      <c r="A9" s="3" t="s">
        <v>26</v>
      </c>
      <c r="B9" s="3" t="s">
        <v>7</v>
      </c>
      <c r="C9" s="3" t="s">
        <v>18</v>
      </c>
      <c r="D9" s="3" t="s">
        <v>11</v>
      </c>
      <c r="E9" s="11">
        <v>39.76</v>
      </c>
      <c r="F9" s="21">
        <f>MIN(E9,MAX(0,'Premium Lookup'!$F$2-SUMIFS($E$1:E8,$A$1:A8,A9)))</f>
        <v>39.76</v>
      </c>
      <c r="G9" s="21">
        <f t="shared" si="0"/>
        <v>0</v>
      </c>
      <c r="I9" s="8" t="s">
        <v>23</v>
      </c>
      <c r="J9" s="9">
        <v>79.290000000000006</v>
      </c>
      <c r="L9" s="8" t="s">
        <v>23</v>
      </c>
      <c r="M9" s="9">
        <v>79.290000000000006</v>
      </c>
    </row>
    <row r="10" spans="1:13" x14ac:dyDescent="0.35">
      <c r="A10" s="2" t="s">
        <v>26</v>
      </c>
      <c r="B10" s="2" t="s">
        <v>8</v>
      </c>
      <c r="C10" s="2" t="s">
        <v>19</v>
      </c>
      <c r="D10" s="2" t="s">
        <v>11</v>
      </c>
      <c r="E10" s="11">
        <v>7.71</v>
      </c>
      <c r="F10" s="21">
        <f>MIN(E10,MAX(0,'Premium Lookup'!$F$2-SUMIFS($E$1:E9,$A$1:A9,A10)))</f>
        <v>7.71</v>
      </c>
      <c r="G10" s="21">
        <f t="shared" si="0"/>
        <v>0</v>
      </c>
      <c r="I10" s="8" t="s">
        <v>9</v>
      </c>
      <c r="J10" s="9">
        <v>106.06</v>
      </c>
      <c r="L10" s="8" t="s">
        <v>9</v>
      </c>
      <c r="M10" s="9">
        <v>106.06</v>
      </c>
    </row>
    <row r="11" spans="1:13" x14ac:dyDescent="0.35">
      <c r="A11" s="3" t="s">
        <v>27</v>
      </c>
      <c r="B11" s="3" t="s">
        <v>7</v>
      </c>
      <c r="C11" s="3" t="s">
        <v>18</v>
      </c>
      <c r="D11" s="3" t="s">
        <v>6</v>
      </c>
      <c r="E11" s="11">
        <v>79.290000000000006</v>
      </c>
      <c r="F11" s="21">
        <f>MIN(E11,MAX(0,'Premium Lookup'!$F$2-SUMIFS($E$1:E10,$A$1:A10,A11)))</f>
        <v>79.290000000000006</v>
      </c>
      <c r="G11" s="21">
        <f t="shared" si="0"/>
        <v>0</v>
      </c>
      <c r="I11" s="8" t="s">
        <v>25</v>
      </c>
      <c r="J11" s="9">
        <v>164.06</v>
      </c>
      <c r="L11" s="8" t="s">
        <v>25</v>
      </c>
      <c r="M11" s="9">
        <v>164.06</v>
      </c>
    </row>
    <row r="12" spans="1:13" x14ac:dyDescent="0.35">
      <c r="A12" s="2" t="s">
        <v>28</v>
      </c>
      <c r="B12" s="2" t="s">
        <v>7</v>
      </c>
      <c r="C12" s="2" t="s">
        <v>18</v>
      </c>
      <c r="D12" s="2" t="s">
        <v>6</v>
      </c>
      <c r="E12" s="11">
        <v>79.290000000000006</v>
      </c>
      <c r="F12" s="21">
        <f>MIN(E12,MAX(0,'Premium Lookup'!$F$2-SUMIFS($E$1:E11,$A$1:A11,A12)))</f>
        <v>79.290000000000006</v>
      </c>
      <c r="G12" s="21">
        <f t="shared" si="0"/>
        <v>0</v>
      </c>
      <c r="I12" s="8" t="s">
        <v>14</v>
      </c>
      <c r="J12" s="9"/>
      <c r="L12" s="8" t="s">
        <v>14</v>
      </c>
      <c r="M12" s="9"/>
    </row>
    <row r="13" spans="1:13" x14ac:dyDescent="0.35">
      <c r="A13" s="3" t="s">
        <v>29</v>
      </c>
      <c r="B13" s="3" t="s">
        <v>5</v>
      </c>
      <c r="C13" s="3" t="s">
        <v>16</v>
      </c>
      <c r="D13" s="3" t="s">
        <v>9</v>
      </c>
      <c r="E13" s="11">
        <v>900.1</v>
      </c>
      <c r="F13" s="21">
        <f>MIN(E13,MAX(0,'Premium Lookup'!$F$2-SUMIFS($E$1:E12,$A$1:A12,A13)))</f>
        <v>900</v>
      </c>
      <c r="G13" s="21">
        <f t="shared" si="0"/>
        <v>0.10000000000002274</v>
      </c>
      <c r="I13" s="20" t="s">
        <v>19</v>
      </c>
      <c r="J13" s="20" t="s">
        <v>3</v>
      </c>
      <c r="L13" s="20" t="s">
        <v>19</v>
      </c>
      <c r="M13" s="20" t="s">
        <v>3</v>
      </c>
    </row>
    <row r="14" spans="1:13" x14ac:dyDescent="0.35">
      <c r="A14" s="2" t="s">
        <v>29</v>
      </c>
      <c r="B14" s="2" t="s">
        <v>7</v>
      </c>
      <c r="C14" s="2" t="s">
        <v>18</v>
      </c>
      <c r="D14" s="2" t="s">
        <v>9</v>
      </c>
      <c r="E14" s="11">
        <v>106.06</v>
      </c>
      <c r="F14" s="21">
        <f>MIN(E14,MAX(0,'Premium Lookup'!$F$2-SUMIFS($E$1:E13,$A$1:A13,A14)))</f>
        <v>0</v>
      </c>
      <c r="G14" s="21">
        <f t="shared" si="0"/>
        <v>106.06</v>
      </c>
      <c r="I14" s="8" t="s">
        <v>11</v>
      </c>
      <c r="J14" s="10">
        <v>7.71</v>
      </c>
      <c r="L14" s="8" t="s">
        <v>11</v>
      </c>
      <c r="M14" s="10">
        <v>7.71</v>
      </c>
    </row>
    <row r="15" spans="1:13" x14ac:dyDescent="0.35">
      <c r="A15" s="3" t="s">
        <v>29</v>
      </c>
      <c r="B15" s="3" t="s">
        <v>8</v>
      </c>
      <c r="C15" s="3" t="s">
        <v>19</v>
      </c>
      <c r="D15" s="3" t="s">
        <v>9</v>
      </c>
      <c r="E15" s="11">
        <v>17.43</v>
      </c>
      <c r="F15" s="21">
        <f>MIN(E15,MAX(0,'Premium Lookup'!$F$2-SUMIFS($E$1:E14,$A$1:A14,A15)))</f>
        <v>0</v>
      </c>
      <c r="G15" s="21">
        <f t="shared" si="0"/>
        <v>17.43</v>
      </c>
      <c r="I15" s="8" t="s">
        <v>23</v>
      </c>
      <c r="J15" s="10">
        <v>15.42</v>
      </c>
      <c r="L15" s="8" t="s">
        <v>23</v>
      </c>
      <c r="M15" s="10">
        <v>15.42</v>
      </c>
    </row>
    <row r="16" spans="1:13" x14ac:dyDescent="0.35">
      <c r="A16" s="2" t="s">
        <v>30</v>
      </c>
      <c r="B16" s="2" t="s">
        <v>5</v>
      </c>
      <c r="C16" s="2" t="s">
        <v>16</v>
      </c>
      <c r="D16" s="2" t="s">
        <v>11</v>
      </c>
      <c r="E16" s="11">
        <v>492.26</v>
      </c>
      <c r="F16" s="21">
        <f>MIN(E16,MAX(0,'Premium Lookup'!$F$2-SUMIFS($E$1:E15,$A$1:A15,A16)))</f>
        <v>492.26</v>
      </c>
      <c r="G16" s="21">
        <f t="shared" si="0"/>
        <v>0</v>
      </c>
      <c r="I16" s="8" t="s">
        <v>9</v>
      </c>
      <c r="J16" s="10">
        <v>17.43</v>
      </c>
      <c r="L16" s="8" t="s">
        <v>9</v>
      </c>
      <c r="M16" s="10">
        <v>17.43</v>
      </c>
    </row>
    <row r="17" spans="1:13" x14ac:dyDescent="0.35">
      <c r="A17" s="3" t="s">
        <v>30</v>
      </c>
      <c r="B17" s="3" t="s">
        <v>7</v>
      </c>
      <c r="C17" s="3" t="s">
        <v>18</v>
      </c>
      <c r="D17" s="3" t="s">
        <v>11</v>
      </c>
      <c r="E17" s="11">
        <v>39.76</v>
      </c>
      <c r="F17" s="21">
        <f>MIN(E17,MAX(0,'Premium Lookup'!$F$2-SUMIFS($E$1:E16,$A$1:A16,A17)))</f>
        <v>39.76</v>
      </c>
      <c r="G17" s="21">
        <f t="shared" si="0"/>
        <v>0</v>
      </c>
      <c r="I17" s="8" t="s">
        <v>25</v>
      </c>
      <c r="J17" s="10">
        <v>27.18</v>
      </c>
      <c r="L17" s="8" t="s">
        <v>25</v>
      </c>
      <c r="M17" s="10">
        <v>27.18</v>
      </c>
    </row>
    <row r="18" spans="1:13" x14ac:dyDescent="0.35">
      <c r="A18" s="2" t="s">
        <v>30</v>
      </c>
      <c r="B18" s="2" t="s">
        <v>8</v>
      </c>
      <c r="C18" s="2" t="s">
        <v>19</v>
      </c>
      <c r="D18" s="2" t="s">
        <v>11</v>
      </c>
      <c r="E18" s="11">
        <v>7.71</v>
      </c>
      <c r="F18" s="21">
        <f>MIN(E18,MAX(0,'Premium Lookup'!$F$2-SUMIFS($E$1:E17,$A$1:A17,A18)))</f>
        <v>7.71</v>
      </c>
      <c r="G18" s="21">
        <f t="shared" si="0"/>
        <v>0</v>
      </c>
      <c r="I18" s="8" t="s">
        <v>14</v>
      </c>
      <c r="J18" s="10"/>
      <c r="L18" s="8" t="s">
        <v>14</v>
      </c>
      <c r="M18" s="10"/>
    </row>
    <row r="19" spans="1:13" x14ac:dyDescent="0.35">
      <c r="A19" s="3" t="s">
        <v>31</v>
      </c>
      <c r="B19" s="3" t="s">
        <v>5</v>
      </c>
      <c r="C19" s="3" t="s">
        <v>15</v>
      </c>
      <c r="D19" s="3" t="s">
        <v>11</v>
      </c>
      <c r="E19" s="11">
        <v>541.86</v>
      </c>
      <c r="F19" s="21">
        <f>MIN(E19,MAX(0,'Premium Lookup'!$F$2-SUMIFS($E$1:E18,$A$1:A18,A19)))</f>
        <v>541.86</v>
      </c>
      <c r="G19" s="21">
        <f t="shared" si="0"/>
        <v>0</v>
      </c>
      <c r="I19" s="20"/>
      <c r="J19" s="20"/>
      <c r="L19" s="20"/>
      <c r="M19" s="20"/>
    </row>
    <row r="20" spans="1:13" x14ac:dyDescent="0.35">
      <c r="A20" s="2" t="s">
        <v>31</v>
      </c>
      <c r="B20" s="2" t="s">
        <v>7</v>
      </c>
      <c r="C20" s="2" t="s">
        <v>18</v>
      </c>
      <c r="D20" s="2" t="s">
        <v>11</v>
      </c>
      <c r="E20" s="11">
        <v>39.76</v>
      </c>
      <c r="F20" s="21">
        <f>MIN(E20,MAX(0,'Premium Lookup'!$F$2-SUMIFS($E$1:E19,$A$1:A19,A20)))</f>
        <v>39.76</v>
      </c>
      <c r="G20" s="21">
        <f t="shared" si="0"/>
        <v>0</v>
      </c>
    </row>
    <row r="21" spans="1:13" x14ac:dyDescent="0.35">
      <c r="A21" s="3" t="s">
        <v>31</v>
      </c>
      <c r="B21" s="3" t="s">
        <v>8</v>
      </c>
      <c r="C21" s="3" t="s">
        <v>19</v>
      </c>
      <c r="D21" s="3" t="s">
        <v>11</v>
      </c>
      <c r="E21" s="11">
        <v>7.71</v>
      </c>
      <c r="F21" s="21">
        <f>MIN(E21,MAX(0,'Premium Lookup'!$F$2-SUMIFS($E$1:E20,$A$1:A20,A21)))</f>
        <v>7.71</v>
      </c>
      <c r="G21" s="21">
        <f t="shared" si="0"/>
        <v>0</v>
      </c>
    </row>
    <row r="22" spans="1:13" x14ac:dyDescent="0.35">
      <c r="A22" s="2" t="s">
        <v>32</v>
      </c>
      <c r="B22" s="2" t="s">
        <v>12</v>
      </c>
      <c r="C22" s="2" t="s">
        <v>20</v>
      </c>
      <c r="D22" s="2" t="s">
        <v>10</v>
      </c>
      <c r="E22" s="11">
        <v>2470</v>
      </c>
      <c r="F22" s="21">
        <f>MIN(E22,MAX(0,'Premium Lookup'!$F$2-SUMIFS($E$1:E21,$A$1:A21,A22)))</f>
        <v>900</v>
      </c>
      <c r="G22" s="21">
        <f t="shared" si="0"/>
        <v>1570</v>
      </c>
    </row>
    <row r="23" spans="1:13" x14ac:dyDescent="0.35">
      <c r="A23" s="3" t="s">
        <v>33</v>
      </c>
      <c r="B23" s="3" t="s">
        <v>12</v>
      </c>
      <c r="C23" s="3" t="s">
        <v>20</v>
      </c>
      <c r="D23" s="3" t="s">
        <v>11</v>
      </c>
      <c r="E23" s="11">
        <v>870</v>
      </c>
      <c r="F23" s="21">
        <f>MIN(E23,MAX(0,'Premium Lookup'!$F$2-SUMIFS($E$1:E22,$A$1:A22,A23)))</f>
        <v>870</v>
      </c>
      <c r="G23" s="21">
        <f t="shared" si="0"/>
        <v>0</v>
      </c>
    </row>
    <row r="24" spans="1:13" x14ac:dyDescent="0.35">
      <c r="A24" s="2" t="s">
        <v>34</v>
      </c>
      <c r="B24" s="2" t="s">
        <v>7</v>
      </c>
      <c r="C24" s="2" t="s">
        <v>18</v>
      </c>
      <c r="D24" s="2" t="s">
        <v>10</v>
      </c>
      <c r="E24" s="11">
        <v>164.06</v>
      </c>
      <c r="F24" s="21">
        <f>MIN(E24,MAX(0,'Premium Lookup'!$F$2-SUMIFS($E$1:E23,$A$1:A23,A24)))</f>
        <v>164.06</v>
      </c>
      <c r="G24" s="21">
        <f t="shared" si="0"/>
        <v>0</v>
      </c>
    </row>
    <row r="25" spans="1:13" x14ac:dyDescent="0.35">
      <c r="A25" s="3" t="s">
        <v>34</v>
      </c>
      <c r="B25" s="3" t="s">
        <v>8</v>
      </c>
      <c r="C25" s="3" t="s">
        <v>19</v>
      </c>
      <c r="D25" s="3" t="s">
        <v>10</v>
      </c>
      <c r="E25" s="11">
        <v>27.18</v>
      </c>
      <c r="F25" s="21">
        <f>MIN(E25,MAX(0,'Premium Lookup'!$F$2-SUMIFS($E$1:E24,$A$1:A24,A25)))</f>
        <v>27.18</v>
      </c>
      <c r="G25" s="21">
        <f t="shared" si="0"/>
        <v>0</v>
      </c>
    </row>
    <row r="26" spans="1:13" x14ac:dyDescent="0.35">
      <c r="A26" s="2" t="s">
        <v>35</v>
      </c>
      <c r="B26" s="2" t="s">
        <v>5</v>
      </c>
      <c r="C26" s="2" t="s">
        <v>16</v>
      </c>
      <c r="D26" s="2" t="s">
        <v>11</v>
      </c>
      <c r="E26" s="11">
        <v>492.26</v>
      </c>
      <c r="F26" s="21">
        <f>MIN(E26,MAX(0,'Premium Lookup'!$F$2-SUMIFS($E$1:E25,$A$1:A25,A26)))</f>
        <v>492.26</v>
      </c>
      <c r="G26" s="21">
        <f t="shared" si="0"/>
        <v>0</v>
      </c>
    </row>
    <row r="27" spans="1:13" x14ac:dyDescent="0.35">
      <c r="A27" s="3" t="s">
        <v>35</v>
      </c>
      <c r="B27" s="3" t="s">
        <v>7</v>
      </c>
      <c r="C27" s="3" t="s">
        <v>18</v>
      </c>
      <c r="D27" s="3" t="s">
        <v>11</v>
      </c>
      <c r="E27" s="11">
        <v>39.76</v>
      </c>
      <c r="F27" s="21">
        <f>MIN(E27,MAX(0,'Premium Lookup'!$F$2-SUMIFS($E$1:E26,$A$1:A26,A27)))</f>
        <v>39.76</v>
      </c>
      <c r="G27" s="21">
        <f t="shared" si="0"/>
        <v>0</v>
      </c>
    </row>
    <row r="28" spans="1:13" x14ac:dyDescent="0.35">
      <c r="A28" s="2" t="s">
        <v>35</v>
      </c>
      <c r="B28" s="2" t="s">
        <v>8</v>
      </c>
      <c r="C28" s="2" t="s">
        <v>19</v>
      </c>
      <c r="D28" s="2" t="s">
        <v>11</v>
      </c>
      <c r="E28" s="11">
        <v>7.71</v>
      </c>
      <c r="F28" s="21">
        <f>MIN(E28,MAX(0,'Premium Lookup'!$F$2-SUMIFS($E$1:E27,$A$1:A27,A28)))</f>
        <v>7.71</v>
      </c>
      <c r="G28" s="21">
        <f t="shared" si="0"/>
        <v>0</v>
      </c>
    </row>
    <row r="29" spans="1:13" x14ac:dyDescent="0.35">
      <c r="A29" s="3" t="s">
        <v>36</v>
      </c>
      <c r="B29" s="3" t="s">
        <v>5</v>
      </c>
      <c r="C29" s="3" t="s">
        <v>15</v>
      </c>
      <c r="D29" s="3" t="s">
        <v>10</v>
      </c>
      <c r="E29" s="11">
        <v>1545.59</v>
      </c>
      <c r="F29" s="21">
        <f>MIN(E29,MAX(0,'Premium Lookup'!$F$2-SUMIFS($E$1:E28,$A$1:A28,A29)))</f>
        <v>900</v>
      </c>
      <c r="G29" s="21">
        <f t="shared" si="0"/>
        <v>645.58999999999992</v>
      </c>
    </row>
    <row r="30" spans="1:13" x14ac:dyDescent="0.35">
      <c r="A30" s="2" t="s">
        <v>36</v>
      </c>
      <c r="B30" s="2" t="s">
        <v>7</v>
      </c>
      <c r="C30" s="2" t="s">
        <v>18</v>
      </c>
      <c r="D30" s="2" t="s">
        <v>10</v>
      </c>
      <c r="E30" s="11">
        <v>164.06</v>
      </c>
      <c r="F30" s="21">
        <f>MIN(E30,MAX(0,'Premium Lookup'!$F$2-SUMIFS($E$1:E29,$A$1:A29,A30)))</f>
        <v>0</v>
      </c>
      <c r="G30" s="21">
        <f t="shared" si="0"/>
        <v>164.06</v>
      </c>
    </row>
    <row r="31" spans="1:13" x14ac:dyDescent="0.35">
      <c r="A31" s="3" t="s">
        <v>36</v>
      </c>
      <c r="B31" s="3" t="s">
        <v>8</v>
      </c>
      <c r="C31" s="3" t="s">
        <v>19</v>
      </c>
      <c r="D31" s="3" t="s">
        <v>10</v>
      </c>
      <c r="E31" s="11">
        <v>27.18</v>
      </c>
      <c r="F31" s="21">
        <f>MIN(E31,MAX(0,'Premium Lookup'!$F$2-SUMIFS($E$1:E30,$A$1:A30,A31)))</f>
        <v>0</v>
      </c>
      <c r="G31" s="21">
        <f t="shared" si="0"/>
        <v>27.18</v>
      </c>
    </row>
    <row r="32" spans="1:13" x14ac:dyDescent="0.35">
      <c r="A32" s="2" t="s">
        <v>37</v>
      </c>
      <c r="B32" s="2" t="s">
        <v>5</v>
      </c>
      <c r="C32" s="2" t="s">
        <v>15</v>
      </c>
      <c r="D32" s="2" t="s">
        <v>11</v>
      </c>
      <c r="E32" s="11">
        <v>541.86</v>
      </c>
      <c r="F32" s="21">
        <f>MIN(E32,MAX(0,'Premium Lookup'!$F$2-SUMIFS($E$1:E31,$A$1:A31,A32)))</f>
        <v>541.86</v>
      </c>
      <c r="G32" s="21">
        <f t="shared" si="0"/>
        <v>0</v>
      </c>
    </row>
    <row r="33" spans="1:7" x14ac:dyDescent="0.35">
      <c r="A33" s="3" t="s">
        <v>37</v>
      </c>
      <c r="B33" s="3" t="s">
        <v>7</v>
      </c>
      <c r="C33" s="3" t="s">
        <v>18</v>
      </c>
      <c r="D33" s="3" t="s">
        <v>11</v>
      </c>
      <c r="E33" s="11">
        <v>39.76</v>
      </c>
      <c r="F33" s="21">
        <f>MIN(E33,MAX(0,'Premium Lookup'!$F$2-SUMIFS($E$1:E32,$A$1:A32,A33)))</f>
        <v>39.76</v>
      </c>
      <c r="G33" s="21">
        <f t="shared" si="0"/>
        <v>0</v>
      </c>
    </row>
    <row r="34" spans="1:7" x14ac:dyDescent="0.35">
      <c r="A34" s="2" t="s">
        <v>37</v>
      </c>
      <c r="B34" s="2" t="s">
        <v>8</v>
      </c>
      <c r="C34" s="2" t="s">
        <v>19</v>
      </c>
      <c r="D34" s="2" t="s">
        <v>11</v>
      </c>
      <c r="E34" s="11">
        <v>7.71</v>
      </c>
      <c r="F34" s="21">
        <f>MIN(E34,MAX(0,'Premium Lookup'!$F$2-SUMIFS($E$1:E33,$A$1:A33,A34)))</f>
        <v>7.71</v>
      </c>
      <c r="G34" s="21">
        <f t="shared" ref="G34:G65" si="1">MAX(E34-F34,0)</f>
        <v>0</v>
      </c>
    </row>
    <row r="35" spans="1:7" x14ac:dyDescent="0.35">
      <c r="A35" s="3" t="s">
        <v>38</v>
      </c>
      <c r="B35" s="3" t="s">
        <v>12</v>
      </c>
      <c r="C35" s="3" t="s">
        <v>20</v>
      </c>
      <c r="D35" s="3" t="s">
        <v>10</v>
      </c>
      <c r="E35" s="11">
        <v>2470</v>
      </c>
      <c r="F35" s="21">
        <f>MIN(E35,MAX(0,'Premium Lookup'!$F$2-SUMIFS($E$1:E34,$A$1:A34,A35)))</f>
        <v>900</v>
      </c>
      <c r="G35" s="21">
        <f t="shared" si="1"/>
        <v>1570</v>
      </c>
    </row>
    <row r="36" spans="1:7" x14ac:dyDescent="0.35">
      <c r="A36" s="2" t="s">
        <v>39</v>
      </c>
      <c r="B36" s="2" t="s">
        <v>7</v>
      </c>
      <c r="C36" s="2" t="s">
        <v>18</v>
      </c>
      <c r="D36" s="2" t="s">
        <v>10</v>
      </c>
      <c r="E36" s="11">
        <v>164.06</v>
      </c>
      <c r="F36" s="21">
        <f>MIN(E36,MAX(0,'Premium Lookup'!$F$2-SUMIFS($E$1:E35,$A$1:A35,A36)))</f>
        <v>164.06</v>
      </c>
      <c r="G36" s="21">
        <f t="shared" si="1"/>
        <v>0</v>
      </c>
    </row>
    <row r="37" spans="1:7" x14ac:dyDescent="0.35">
      <c r="A37" s="3" t="s">
        <v>40</v>
      </c>
      <c r="B37" s="3" t="s">
        <v>7</v>
      </c>
      <c r="C37" s="3" t="s">
        <v>18</v>
      </c>
      <c r="D37" s="3" t="s">
        <v>6</v>
      </c>
      <c r="E37" s="11">
        <v>79.290000000000006</v>
      </c>
      <c r="F37" s="21">
        <f>MIN(E37,MAX(0,'Premium Lookup'!$F$2-SUMIFS($E$1:E36,$A$1:A36,A37)))</f>
        <v>79.290000000000006</v>
      </c>
      <c r="G37" s="21">
        <f t="shared" si="1"/>
        <v>0</v>
      </c>
    </row>
    <row r="38" spans="1:7" x14ac:dyDescent="0.35">
      <c r="A38" s="2" t="s">
        <v>40</v>
      </c>
      <c r="B38" s="2" t="s">
        <v>8</v>
      </c>
      <c r="C38" s="2" t="s">
        <v>19</v>
      </c>
      <c r="D38" s="2" t="s">
        <v>6</v>
      </c>
      <c r="E38" s="11">
        <v>15.42</v>
      </c>
      <c r="F38" s="21">
        <f>MIN(E38,MAX(0,'Premium Lookup'!$F$2-SUMIFS($E$1:E37,$A$1:A37,A38)))</f>
        <v>15.42</v>
      </c>
      <c r="G38" s="21">
        <f t="shared" si="1"/>
        <v>0</v>
      </c>
    </row>
    <row r="39" spans="1:7" x14ac:dyDescent="0.35">
      <c r="A39" s="3" t="s">
        <v>41</v>
      </c>
      <c r="B39" s="3" t="s">
        <v>5</v>
      </c>
      <c r="C39" s="3" t="s">
        <v>15</v>
      </c>
      <c r="D39" s="3" t="s">
        <v>11</v>
      </c>
      <c r="E39" s="11">
        <v>541.86</v>
      </c>
      <c r="F39" s="21">
        <f>MIN(E39,MAX(0,'Premium Lookup'!$F$2-SUMIFS($E$1:E38,$A$1:A38,A39)))</f>
        <v>541.86</v>
      </c>
      <c r="G39" s="21">
        <f t="shared" si="1"/>
        <v>0</v>
      </c>
    </row>
    <row r="40" spans="1:7" x14ac:dyDescent="0.35">
      <c r="A40" s="2" t="s">
        <v>41</v>
      </c>
      <c r="B40" s="2" t="s">
        <v>7</v>
      </c>
      <c r="C40" s="2" t="s">
        <v>18</v>
      </c>
      <c r="D40" s="2" t="s">
        <v>11</v>
      </c>
      <c r="E40" s="11">
        <v>39.76</v>
      </c>
      <c r="F40" s="21">
        <f>MIN(E40,MAX(0,'Premium Lookup'!$F$2-SUMIFS($E$1:E39,$A$1:A39,A40)))</f>
        <v>39.76</v>
      </c>
      <c r="G40" s="21">
        <f t="shared" si="1"/>
        <v>0</v>
      </c>
    </row>
    <row r="41" spans="1:7" x14ac:dyDescent="0.35">
      <c r="A41" s="3" t="s">
        <v>41</v>
      </c>
      <c r="B41" s="3" t="s">
        <v>8</v>
      </c>
      <c r="C41" s="3" t="s">
        <v>19</v>
      </c>
      <c r="D41" s="3" t="s">
        <v>11</v>
      </c>
      <c r="E41" s="11">
        <v>7.71</v>
      </c>
      <c r="F41" s="21">
        <f>MIN(E41,MAX(0,'Premium Lookup'!$F$2-SUMIFS($E$1:E40,$A$1:A40,A41)))</f>
        <v>7.71</v>
      </c>
      <c r="G41" s="21">
        <f t="shared" si="1"/>
        <v>0</v>
      </c>
    </row>
    <row r="42" spans="1:7" x14ac:dyDescent="0.35">
      <c r="A42" s="2" t="s">
        <v>42</v>
      </c>
      <c r="B42" s="2" t="s">
        <v>7</v>
      </c>
      <c r="C42" s="2" t="s">
        <v>18</v>
      </c>
      <c r="D42" s="2" t="s">
        <v>10</v>
      </c>
      <c r="E42" s="11">
        <v>164.06</v>
      </c>
      <c r="F42" s="21">
        <f>MIN(E42,MAX(0,'Premium Lookup'!$F$2-SUMIFS($E$1:E41,$A$1:A41,A42)))</f>
        <v>164.06</v>
      </c>
      <c r="G42" s="21">
        <f t="shared" si="1"/>
        <v>0</v>
      </c>
    </row>
    <row r="43" spans="1:7" x14ac:dyDescent="0.35">
      <c r="A43" s="3" t="s">
        <v>42</v>
      </c>
      <c r="B43" s="3" t="s">
        <v>8</v>
      </c>
      <c r="C43" s="3" t="s">
        <v>19</v>
      </c>
      <c r="D43" s="3" t="s">
        <v>10</v>
      </c>
      <c r="E43" s="11">
        <v>27.18</v>
      </c>
      <c r="F43" s="21">
        <f>MIN(E43,MAX(0,'Premium Lookup'!$F$2-SUMIFS($E$1:E42,$A$1:A42,A43)))</f>
        <v>27.18</v>
      </c>
      <c r="G43" s="21">
        <f t="shared" si="1"/>
        <v>0</v>
      </c>
    </row>
    <row r="44" spans="1:7" x14ac:dyDescent="0.35">
      <c r="A44" s="2" t="s">
        <v>43</v>
      </c>
      <c r="B44" s="2" t="s">
        <v>7</v>
      </c>
      <c r="C44" s="2" t="s">
        <v>18</v>
      </c>
      <c r="D44" s="2" t="s">
        <v>6</v>
      </c>
      <c r="E44" s="11">
        <v>79.290000000000006</v>
      </c>
      <c r="F44" s="21">
        <f>MIN(E44,MAX(0,'Premium Lookup'!$F$2-SUMIFS($E$1:E43,$A$1:A43,A44)))</f>
        <v>79.290000000000006</v>
      </c>
      <c r="G44" s="21">
        <f t="shared" si="1"/>
        <v>0</v>
      </c>
    </row>
    <row r="45" spans="1:7" x14ac:dyDescent="0.35">
      <c r="A45" s="3" t="s">
        <v>44</v>
      </c>
      <c r="B45" s="3" t="s">
        <v>5</v>
      </c>
      <c r="C45" s="3" t="s">
        <v>17</v>
      </c>
      <c r="D45" s="3" t="s">
        <v>10</v>
      </c>
      <c r="E45" s="11">
        <v>1545.59</v>
      </c>
      <c r="F45" s="21">
        <f>MIN(E45,MAX(0,'Premium Lookup'!$F$2-SUMIFS($E$1:E44,$A$1:A44,A45)))</f>
        <v>900</v>
      </c>
      <c r="G45" s="21">
        <f t="shared" si="1"/>
        <v>645.58999999999992</v>
      </c>
    </row>
    <row r="46" spans="1:7" x14ac:dyDescent="0.35">
      <c r="A46" s="2" t="s">
        <v>44</v>
      </c>
      <c r="B46" s="2" t="s">
        <v>7</v>
      </c>
      <c r="C46" s="2" t="s">
        <v>18</v>
      </c>
      <c r="D46" s="2" t="s">
        <v>10</v>
      </c>
      <c r="E46" s="11">
        <v>164.06</v>
      </c>
      <c r="F46" s="21">
        <f>MIN(E46,MAX(0,'Premium Lookup'!$F$2-SUMIFS($E$1:E45,$A$1:A45,A46)))</f>
        <v>0</v>
      </c>
      <c r="G46" s="21">
        <f t="shared" si="1"/>
        <v>164.06</v>
      </c>
    </row>
    <row r="47" spans="1:7" x14ac:dyDescent="0.35">
      <c r="A47" s="3" t="s">
        <v>44</v>
      </c>
      <c r="B47" s="3" t="s">
        <v>8</v>
      </c>
      <c r="C47" s="3" t="s">
        <v>19</v>
      </c>
      <c r="D47" s="3" t="s">
        <v>10</v>
      </c>
      <c r="E47" s="11">
        <v>27.18</v>
      </c>
      <c r="F47" s="21">
        <f>MIN(E47,MAX(0,'Premium Lookup'!$F$2-SUMIFS($E$1:E46,$A$1:A46,A47)))</f>
        <v>0</v>
      </c>
      <c r="G47" s="21">
        <f t="shared" si="1"/>
        <v>27.18</v>
      </c>
    </row>
    <row r="48" spans="1:7" x14ac:dyDescent="0.35">
      <c r="A48" s="2" t="s">
        <v>45</v>
      </c>
      <c r="B48" s="2" t="s">
        <v>5</v>
      </c>
      <c r="C48" s="2" t="s">
        <v>16</v>
      </c>
      <c r="D48" s="2" t="s">
        <v>9</v>
      </c>
      <c r="E48" s="11">
        <v>900.1</v>
      </c>
      <c r="F48" s="21">
        <f>MIN(E48,MAX(0,'Premium Lookup'!$F$2-SUMIFS($E$1:E47,$A$1:A47,A48)))</f>
        <v>900</v>
      </c>
      <c r="G48" s="21">
        <f t="shared" si="1"/>
        <v>0.10000000000002274</v>
      </c>
    </row>
    <row r="49" spans="1:7" x14ac:dyDescent="0.35">
      <c r="A49" s="3" t="s">
        <v>45</v>
      </c>
      <c r="B49" s="3" t="s">
        <v>7</v>
      </c>
      <c r="C49" s="3" t="s">
        <v>18</v>
      </c>
      <c r="D49" s="3" t="s">
        <v>9</v>
      </c>
      <c r="E49" s="11">
        <v>106.06</v>
      </c>
      <c r="F49" s="21">
        <f>MIN(E49,MAX(0,'Premium Lookup'!$F$2-SUMIFS($E$1:E48,$A$1:A48,A49)))</f>
        <v>0</v>
      </c>
      <c r="G49" s="21">
        <f t="shared" si="1"/>
        <v>106.06</v>
      </c>
    </row>
    <row r="50" spans="1:7" x14ac:dyDescent="0.35">
      <c r="A50" s="2" t="s">
        <v>45</v>
      </c>
      <c r="B50" s="2" t="s">
        <v>8</v>
      </c>
      <c r="C50" s="2" t="s">
        <v>19</v>
      </c>
      <c r="D50" s="2" t="s">
        <v>9</v>
      </c>
      <c r="E50" s="11">
        <v>17.43</v>
      </c>
      <c r="F50" s="21">
        <f>MIN(E50,MAX(0,'Premium Lookup'!$F$2-SUMIFS($E$1:E49,$A$1:A49,A50)))</f>
        <v>0</v>
      </c>
      <c r="G50" s="21">
        <f t="shared" si="1"/>
        <v>17.43</v>
      </c>
    </row>
    <row r="51" spans="1:7" x14ac:dyDescent="0.35">
      <c r="A51" s="3" t="s">
        <v>46</v>
      </c>
      <c r="B51" s="3" t="s">
        <v>12</v>
      </c>
      <c r="C51" s="3" t="s">
        <v>20</v>
      </c>
      <c r="D51" s="3" t="s">
        <v>11</v>
      </c>
      <c r="E51" s="11">
        <v>870</v>
      </c>
      <c r="F51" s="21">
        <f>MIN(E51,MAX(0,'Premium Lookup'!$F$2-SUMIFS($E$1:E50,$A$1:A50,A51)))</f>
        <v>870</v>
      </c>
      <c r="G51" s="21">
        <f t="shared" si="1"/>
        <v>0</v>
      </c>
    </row>
    <row r="52" spans="1:7" x14ac:dyDescent="0.35">
      <c r="A52" s="2" t="s">
        <v>47</v>
      </c>
      <c r="B52" s="2" t="s">
        <v>5</v>
      </c>
      <c r="C52" s="2" t="s">
        <v>16</v>
      </c>
      <c r="D52" s="2" t="s">
        <v>9</v>
      </c>
      <c r="E52" s="11">
        <v>900.1</v>
      </c>
      <c r="F52" s="21">
        <f>MIN(E52,MAX(0,'Premium Lookup'!$F$2-SUMIFS($E$1:E51,$A$1:A51,A52)))</f>
        <v>900</v>
      </c>
      <c r="G52" s="21">
        <f t="shared" si="1"/>
        <v>0.10000000000002274</v>
      </c>
    </row>
    <row r="53" spans="1:7" x14ac:dyDescent="0.35">
      <c r="A53" s="3" t="s">
        <v>47</v>
      </c>
      <c r="B53" s="3" t="s">
        <v>7</v>
      </c>
      <c r="C53" s="3" t="s">
        <v>18</v>
      </c>
      <c r="D53" s="3" t="s">
        <v>9</v>
      </c>
      <c r="E53" s="11">
        <v>106.06</v>
      </c>
      <c r="F53" s="21">
        <f>MIN(E53,MAX(0,'Premium Lookup'!$F$2-SUMIFS($E$1:E52,$A$1:A52,A53)))</f>
        <v>0</v>
      </c>
      <c r="G53" s="21">
        <f t="shared" si="1"/>
        <v>106.06</v>
      </c>
    </row>
    <row r="54" spans="1:7" x14ac:dyDescent="0.35">
      <c r="A54" s="2" t="s">
        <v>48</v>
      </c>
      <c r="B54" s="2" t="s">
        <v>5</v>
      </c>
      <c r="C54" s="2" t="s">
        <v>16</v>
      </c>
      <c r="D54" s="2" t="s">
        <v>11</v>
      </c>
      <c r="E54" s="11">
        <v>492.26</v>
      </c>
      <c r="F54" s="21">
        <f>MIN(E54,MAX(0,'Premium Lookup'!$F$2-SUMIFS($E$1:E53,$A$1:A53,A54)))</f>
        <v>492.26</v>
      </c>
      <c r="G54" s="21">
        <f t="shared" si="1"/>
        <v>0</v>
      </c>
    </row>
    <row r="55" spans="1:7" x14ac:dyDescent="0.35">
      <c r="A55" s="3" t="s">
        <v>48</v>
      </c>
      <c r="B55" s="3" t="s">
        <v>7</v>
      </c>
      <c r="C55" s="3" t="s">
        <v>18</v>
      </c>
      <c r="D55" s="3" t="s">
        <v>11</v>
      </c>
      <c r="E55" s="11">
        <v>39.76</v>
      </c>
      <c r="F55" s="21">
        <f>MIN(E55,MAX(0,'Premium Lookup'!$F$2-SUMIFS($E$1:E54,$A$1:A54,A55)))</f>
        <v>39.76</v>
      </c>
      <c r="G55" s="21">
        <f t="shared" si="1"/>
        <v>0</v>
      </c>
    </row>
    <row r="56" spans="1:7" x14ac:dyDescent="0.35">
      <c r="A56" s="2" t="s">
        <v>48</v>
      </c>
      <c r="B56" s="2" t="s">
        <v>8</v>
      </c>
      <c r="C56" s="2" t="s">
        <v>19</v>
      </c>
      <c r="D56" s="2" t="s">
        <v>11</v>
      </c>
      <c r="E56" s="11">
        <v>7.71</v>
      </c>
      <c r="F56" s="21">
        <f>MIN(E56,MAX(0,'Premium Lookup'!$F$2-SUMIFS($E$1:E55,$A$1:A55,A56)))</f>
        <v>7.71</v>
      </c>
      <c r="G56" s="21">
        <f t="shared" si="1"/>
        <v>0</v>
      </c>
    </row>
    <row r="57" spans="1:7" x14ac:dyDescent="0.35">
      <c r="A57" s="3" t="s">
        <v>49</v>
      </c>
      <c r="B57" s="3" t="s">
        <v>5</v>
      </c>
      <c r="C57" s="3" t="s">
        <v>15</v>
      </c>
      <c r="D57" s="3" t="s">
        <v>11</v>
      </c>
      <c r="E57" s="11">
        <v>541.86</v>
      </c>
      <c r="F57" s="21">
        <f>MIN(E57,MAX(0,'Premium Lookup'!$F$2-SUMIFS($E$1:E56,$A$1:A56,A57)))</f>
        <v>541.86</v>
      </c>
      <c r="G57" s="21">
        <f t="shared" si="1"/>
        <v>0</v>
      </c>
    </row>
    <row r="58" spans="1:7" x14ac:dyDescent="0.35">
      <c r="A58" s="2" t="s">
        <v>49</v>
      </c>
      <c r="B58" s="2" t="s">
        <v>7</v>
      </c>
      <c r="C58" s="2" t="s">
        <v>18</v>
      </c>
      <c r="D58" s="2" t="s">
        <v>11</v>
      </c>
      <c r="E58" s="11">
        <v>39.76</v>
      </c>
      <c r="F58" s="21">
        <f>MIN(E58,MAX(0,'Premium Lookup'!$F$2-SUMIFS($E$1:E57,$A$1:A57,A58)))</f>
        <v>39.76</v>
      </c>
      <c r="G58" s="21">
        <f t="shared" si="1"/>
        <v>0</v>
      </c>
    </row>
    <row r="59" spans="1:7" x14ac:dyDescent="0.35">
      <c r="A59" s="3" t="s">
        <v>49</v>
      </c>
      <c r="B59" s="3" t="s">
        <v>8</v>
      </c>
      <c r="C59" s="3" t="s">
        <v>19</v>
      </c>
      <c r="D59" s="3" t="s">
        <v>11</v>
      </c>
      <c r="E59" s="11">
        <v>7.71</v>
      </c>
      <c r="F59" s="21">
        <f>MIN(E59,MAX(0,'Premium Lookup'!$F$2-SUMIFS($E$1:E58,$A$1:A58,A59)))</f>
        <v>7.71</v>
      </c>
      <c r="G59" s="21">
        <f t="shared" si="1"/>
        <v>0</v>
      </c>
    </row>
    <row r="60" spans="1:7" x14ac:dyDescent="0.35">
      <c r="A60" s="2" t="s">
        <v>50</v>
      </c>
      <c r="B60" s="2" t="s">
        <v>7</v>
      </c>
      <c r="C60" s="2" t="s">
        <v>18</v>
      </c>
      <c r="D60" s="2" t="s">
        <v>11</v>
      </c>
      <c r="E60" s="11">
        <v>39.76</v>
      </c>
      <c r="F60" s="21">
        <f>MIN(E60,MAX(0,'Premium Lookup'!$F$2-SUMIFS($E$1:E59,$A$1:A59,A60)))</f>
        <v>39.76</v>
      </c>
      <c r="G60" s="21">
        <f t="shared" si="1"/>
        <v>0</v>
      </c>
    </row>
    <row r="61" spans="1:7" x14ac:dyDescent="0.35">
      <c r="A61" s="3" t="s">
        <v>51</v>
      </c>
      <c r="B61" s="3" t="s">
        <v>7</v>
      </c>
      <c r="C61" s="3" t="s">
        <v>18</v>
      </c>
      <c r="D61" s="3" t="s">
        <v>10</v>
      </c>
      <c r="E61" s="11">
        <v>164.06</v>
      </c>
      <c r="F61" s="21">
        <f>MIN(E61,MAX(0,'Premium Lookup'!$F$2-SUMIFS($E$1:E60,$A$1:A60,A61)))</f>
        <v>164.06</v>
      </c>
      <c r="G61" s="21">
        <f t="shared" si="1"/>
        <v>0</v>
      </c>
    </row>
    <row r="62" spans="1:7" x14ac:dyDescent="0.35">
      <c r="A62" s="2" t="s">
        <v>51</v>
      </c>
      <c r="B62" s="2" t="s">
        <v>8</v>
      </c>
      <c r="C62" s="2" t="s">
        <v>19</v>
      </c>
      <c r="D62" s="2" t="s">
        <v>10</v>
      </c>
      <c r="E62" s="11">
        <v>27.18</v>
      </c>
      <c r="F62" s="21">
        <f>MIN(E62,MAX(0,'Premium Lookup'!$F$2-SUMIFS($E$1:E61,$A$1:A61,A62)))</f>
        <v>27.18</v>
      </c>
      <c r="G62" s="21">
        <f t="shared" si="1"/>
        <v>0</v>
      </c>
    </row>
    <row r="63" spans="1:7" x14ac:dyDescent="0.35">
      <c r="A63" s="3" t="s">
        <v>52</v>
      </c>
      <c r="B63" s="3" t="s">
        <v>5</v>
      </c>
      <c r="C63" s="3" t="s">
        <v>15</v>
      </c>
      <c r="D63" s="3" t="s">
        <v>11</v>
      </c>
      <c r="E63" s="11">
        <v>541.86</v>
      </c>
      <c r="F63" s="21">
        <f>MIN(E63,MAX(0,'Premium Lookup'!$F$2-SUMIFS($E$1:E62,$A$1:A62,A63)))</f>
        <v>541.86</v>
      </c>
      <c r="G63" s="21">
        <f t="shared" si="1"/>
        <v>0</v>
      </c>
    </row>
    <row r="64" spans="1:7" x14ac:dyDescent="0.35">
      <c r="A64" s="2" t="s">
        <v>52</v>
      </c>
      <c r="B64" s="2" t="s">
        <v>7</v>
      </c>
      <c r="C64" s="2" t="s">
        <v>18</v>
      </c>
      <c r="D64" s="2" t="s">
        <v>11</v>
      </c>
      <c r="E64" s="11">
        <v>39.76</v>
      </c>
      <c r="F64" s="21">
        <f>MIN(E64,MAX(0,'Premium Lookup'!$F$2-SUMIFS($E$1:E63,$A$1:A63,A64)))</f>
        <v>39.76</v>
      </c>
      <c r="G64" s="21">
        <f t="shared" si="1"/>
        <v>0</v>
      </c>
    </row>
    <row r="65" spans="1:7" x14ac:dyDescent="0.35">
      <c r="A65" s="3" t="s">
        <v>52</v>
      </c>
      <c r="B65" s="3" t="s">
        <v>8</v>
      </c>
      <c r="C65" s="3" t="s">
        <v>19</v>
      </c>
      <c r="D65" s="3" t="s">
        <v>11</v>
      </c>
      <c r="E65" s="11">
        <v>7.71</v>
      </c>
      <c r="F65" s="21">
        <f>MIN(E65,MAX(0,'Premium Lookup'!$F$2-SUMIFS($E$1:E64,$A$1:A64,A65)))</f>
        <v>7.71</v>
      </c>
      <c r="G65" s="21">
        <f t="shared" si="1"/>
        <v>0</v>
      </c>
    </row>
    <row r="66" spans="1:7" x14ac:dyDescent="0.35">
      <c r="A66" s="2" t="s">
        <v>53</v>
      </c>
      <c r="B66" s="2" t="s">
        <v>5</v>
      </c>
      <c r="C66" s="2" t="s">
        <v>15</v>
      </c>
      <c r="D66" s="2" t="s">
        <v>6</v>
      </c>
      <c r="E66" s="11">
        <v>1093.92</v>
      </c>
      <c r="F66" s="21">
        <f>MIN(E66,MAX(0,'Premium Lookup'!$F$2-SUMIFS($E$1:E65,$A$1:A65,A66)))</f>
        <v>900</v>
      </c>
      <c r="G66" s="21">
        <f t="shared" ref="G66:G96" si="2">MAX(E66-F66,0)</f>
        <v>193.92000000000007</v>
      </c>
    </row>
    <row r="67" spans="1:7" x14ac:dyDescent="0.35">
      <c r="A67" s="3" t="s">
        <v>53</v>
      </c>
      <c r="B67" s="3" t="s">
        <v>7</v>
      </c>
      <c r="C67" s="3" t="s">
        <v>18</v>
      </c>
      <c r="D67" s="3" t="s">
        <v>6</v>
      </c>
      <c r="E67" s="11">
        <v>79.290000000000006</v>
      </c>
      <c r="F67" s="21">
        <f>MIN(E67,MAX(0,'Premium Lookup'!$F$2-SUMIFS($E$1:E66,$A$1:A66,A67)))</f>
        <v>0</v>
      </c>
      <c r="G67" s="21">
        <f t="shared" si="2"/>
        <v>79.290000000000006</v>
      </c>
    </row>
    <row r="68" spans="1:7" x14ac:dyDescent="0.35">
      <c r="A68" s="2" t="s">
        <v>53</v>
      </c>
      <c r="B68" s="2" t="s">
        <v>8</v>
      </c>
      <c r="C68" s="2" t="s">
        <v>19</v>
      </c>
      <c r="D68" s="2" t="s">
        <v>6</v>
      </c>
      <c r="E68" s="11">
        <v>15.42</v>
      </c>
      <c r="F68" s="21">
        <f>MIN(E68,MAX(0,'Premium Lookup'!$F$2-SUMIFS($E$1:E67,$A$1:A67,A68)))</f>
        <v>0</v>
      </c>
      <c r="G68" s="21">
        <f t="shared" si="2"/>
        <v>15.42</v>
      </c>
    </row>
    <row r="69" spans="1:7" x14ac:dyDescent="0.35">
      <c r="A69" s="3" t="s">
        <v>54</v>
      </c>
      <c r="B69" s="3" t="s">
        <v>7</v>
      </c>
      <c r="C69" s="3" t="s">
        <v>18</v>
      </c>
      <c r="D69" s="3" t="s">
        <v>10</v>
      </c>
      <c r="E69" s="11">
        <v>164.06</v>
      </c>
      <c r="F69" s="21">
        <f>MIN(E69,MAX(0,'Premium Lookup'!$F$2-SUMIFS($E$1:E68,$A$1:A68,A69)))</f>
        <v>164.06</v>
      </c>
      <c r="G69" s="21">
        <f t="shared" si="2"/>
        <v>0</v>
      </c>
    </row>
    <row r="70" spans="1:7" x14ac:dyDescent="0.35">
      <c r="A70" s="2" t="s">
        <v>54</v>
      </c>
      <c r="B70" s="2" t="s">
        <v>8</v>
      </c>
      <c r="C70" s="2" t="s">
        <v>19</v>
      </c>
      <c r="D70" s="2" t="s">
        <v>10</v>
      </c>
      <c r="E70" s="11">
        <v>27.18</v>
      </c>
      <c r="F70" s="21">
        <f>MIN(E70,MAX(0,'Premium Lookup'!$F$2-SUMIFS($E$1:E69,$A$1:A69,A70)))</f>
        <v>27.18</v>
      </c>
      <c r="G70" s="21">
        <f t="shared" si="2"/>
        <v>0</v>
      </c>
    </row>
    <row r="71" spans="1:7" x14ac:dyDescent="0.35">
      <c r="A71" s="3" t="s">
        <v>55</v>
      </c>
      <c r="B71" s="3" t="s">
        <v>8</v>
      </c>
      <c r="C71" s="3" t="s">
        <v>19</v>
      </c>
      <c r="D71" s="3" t="s">
        <v>9</v>
      </c>
      <c r="E71" s="11">
        <v>17.43</v>
      </c>
      <c r="F71" s="21">
        <f>MIN(E71,MAX(0,'Premium Lookup'!$F$2-SUMIFS($E$1:E70,$A$1:A70,A71)))</f>
        <v>17.43</v>
      </c>
      <c r="G71" s="21">
        <f t="shared" si="2"/>
        <v>0</v>
      </c>
    </row>
    <row r="72" spans="1:7" x14ac:dyDescent="0.35">
      <c r="A72" s="2" t="s">
        <v>56</v>
      </c>
      <c r="B72" s="2" t="s">
        <v>7</v>
      </c>
      <c r="C72" s="2" t="s">
        <v>18</v>
      </c>
      <c r="D72" s="2" t="s">
        <v>11</v>
      </c>
      <c r="E72" s="11">
        <v>39.76</v>
      </c>
      <c r="F72" s="21">
        <f>MIN(E72,MAX(0,'Premium Lookup'!$F$2-SUMIFS($E$1:E71,$A$1:A71,A72)))</f>
        <v>39.76</v>
      </c>
      <c r="G72" s="21">
        <f t="shared" si="2"/>
        <v>0</v>
      </c>
    </row>
    <row r="73" spans="1:7" x14ac:dyDescent="0.35">
      <c r="A73" s="3" t="s">
        <v>57</v>
      </c>
      <c r="B73" s="3" t="s">
        <v>5</v>
      </c>
      <c r="C73" s="3" t="s">
        <v>15</v>
      </c>
      <c r="D73" s="3" t="s">
        <v>11</v>
      </c>
      <c r="E73" s="11">
        <v>541.86</v>
      </c>
      <c r="F73" s="21">
        <f>MIN(E73,MAX(0,'Premium Lookup'!$F$2-SUMIFS($E$1:E72,$A$1:A72,A73)))</f>
        <v>541.86</v>
      </c>
      <c r="G73" s="21">
        <f t="shared" si="2"/>
        <v>0</v>
      </c>
    </row>
    <row r="74" spans="1:7" x14ac:dyDescent="0.35">
      <c r="A74" s="2" t="s">
        <v>57</v>
      </c>
      <c r="B74" s="2" t="s">
        <v>7</v>
      </c>
      <c r="C74" s="2" t="s">
        <v>18</v>
      </c>
      <c r="D74" s="2" t="s">
        <v>11</v>
      </c>
      <c r="E74" s="11">
        <v>39.76</v>
      </c>
      <c r="F74" s="21">
        <f>MIN(E74,MAX(0,'Premium Lookup'!$F$2-SUMIFS($E$1:E73,$A$1:A73,A74)))</f>
        <v>39.76</v>
      </c>
      <c r="G74" s="21">
        <f t="shared" si="2"/>
        <v>0</v>
      </c>
    </row>
    <row r="75" spans="1:7" x14ac:dyDescent="0.35">
      <c r="A75" s="3" t="s">
        <v>57</v>
      </c>
      <c r="B75" s="3" t="s">
        <v>8</v>
      </c>
      <c r="C75" s="3" t="s">
        <v>19</v>
      </c>
      <c r="D75" s="3" t="s">
        <v>11</v>
      </c>
      <c r="E75" s="11">
        <v>7.71</v>
      </c>
      <c r="F75" s="21">
        <f>MIN(E75,MAX(0,'Premium Lookup'!$F$2-SUMIFS($E$1:E74,$A$1:A74,A75)))</f>
        <v>7.71</v>
      </c>
      <c r="G75" s="21">
        <f t="shared" si="2"/>
        <v>0</v>
      </c>
    </row>
    <row r="76" spans="1:7" x14ac:dyDescent="0.35">
      <c r="A76" s="2" t="s">
        <v>58</v>
      </c>
      <c r="B76" s="2" t="s">
        <v>7</v>
      </c>
      <c r="C76" s="2" t="s">
        <v>18</v>
      </c>
      <c r="D76" s="2" t="s">
        <v>11</v>
      </c>
      <c r="E76" s="11">
        <v>39.76</v>
      </c>
      <c r="F76" s="21">
        <f>MIN(E76,MAX(0,'Premium Lookup'!$F$2-SUMIFS($E$1:E75,$A$1:A75,A76)))</f>
        <v>39.76</v>
      </c>
      <c r="G76" s="21">
        <f t="shared" si="2"/>
        <v>0</v>
      </c>
    </row>
    <row r="77" spans="1:7" x14ac:dyDescent="0.35">
      <c r="A77" s="3" t="s">
        <v>58</v>
      </c>
      <c r="B77" s="3" t="s">
        <v>8</v>
      </c>
      <c r="C77" s="3" t="s">
        <v>19</v>
      </c>
      <c r="D77" s="3" t="s">
        <v>11</v>
      </c>
      <c r="E77" s="11">
        <v>7.71</v>
      </c>
      <c r="F77" s="21">
        <f>MIN(E77,MAX(0,'Premium Lookup'!$F$2-SUMIFS($E$1:E76,$A$1:A76,A77)))</f>
        <v>7.71</v>
      </c>
      <c r="G77" s="21">
        <f t="shared" si="2"/>
        <v>0</v>
      </c>
    </row>
    <row r="78" spans="1:7" x14ac:dyDescent="0.35">
      <c r="A78" s="2" t="s">
        <v>59</v>
      </c>
      <c r="B78" s="2" t="s">
        <v>5</v>
      </c>
      <c r="C78" s="2" t="s">
        <v>15</v>
      </c>
      <c r="D78" s="2" t="s">
        <v>11</v>
      </c>
      <c r="E78" s="11">
        <v>541.86</v>
      </c>
      <c r="F78" s="21">
        <f>MIN(E78,MAX(0,'Premium Lookup'!$F$2-SUMIFS($E$1:E77,$A$1:A77,A78)))</f>
        <v>541.86</v>
      </c>
      <c r="G78" s="21">
        <f t="shared" si="2"/>
        <v>0</v>
      </c>
    </row>
    <row r="79" spans="1:7" x14ac:dyDescent="0.35">
      <c r="A79" s="3" t="s">
        <v>59</v>
      </c>
      <c r="B79" s="3" t="s">
        <v>7</v>
      </c>
      <c r="C79" s="3" t="s">
        <v>18</v>
      </c>
      <c r="D79" s="3" t="s">
        <v>11</v>
      </c>
      <c r="E79" s="11">
        <v>39.76</v>
      </c>
      <c r="F79" s="21">
        <f>MIN(E79,MAX(0,'Premium Lookup'!$F$2-SUMIFS($E$1:E78,$A$1:A78,A79)))</f>
        <v>39.76</v>
      </c>
      <c r="G79" s="21">
        <f t="shared" si="2"/>
        <v>0</v>
      </c>
    </row>
    <row r="80" spans="1:7" x14ac:dyDescent="0.35">
      <c r="A80" s="2" t="s">
        <v>59</v>
      </c>
      <c r="B80" s="2" t="s">
        <v>8</v>
      </c>
      <c r="C80" s="2" t="s">
        <v>19</v>
      </c>
      <c r="D80" s="2" t="s">
        <v>11</v>
      </c>
      <c r="E80" s="11">
        <v>7.71</v>
      </c>
      <c r="F80" s="21">
        <f>MIN(E80,MAX(0,'Premium Lookup'!$F$2-SUMIFS($E$1:E79,$A$1:A79,A80)))</f>
        <v>7.71</v>
      </c>
      <c r="G80" s="21">
        <f t="shared" si="2"/>
        <v>0</v>
      </c>
    </row>
    <row r="81" spans="1:7" x14ac:dyDescent="0.35">
      <c r="A81" s="3" t="s">
        <v>60</v>
      </c>
      <c r="B81" s="3" t="s">
        <v>5</v>
      </c>
      <c r="C81" s="3" t="s">
        <v>16</v>
      </c>
      <c r="D81" s="3" t="s">
        <v>6</v>
      </c>
      <c r="E81" s="11">
        <v>990.64</v>
      </c>
      <c r="F81" s="21">
        <f>MIN(E81,MAX(0,'Premium Lookup'!$F$2-SUMIFS($E$1:E80,$A$1:A80,A81)))</f>
        <v>900</v>
      </c>
      <c r="G81" s="21">
        <f t="shared" si="2"/>
        <v>90.639999999999986</v>
      </c>
    </row>
    <row r="82" spans="1:7" x14ac:dyDescent="0.35">
      <c r="A82" s="2" t="s">
        <v>60</v>
      </c>
      <c r="B82" s="2" t="s">
        <v>7</v>
      </c>
      <c r="C82" s="2" t="s">
        <v>18</v>
      </c>
      <c r="D82" s="2" t="s">
        <v>6</v>
      </c>
      <c r="E82" s="11">
        <v>79.290000000000006</v>
      </c>
      <c r="F82" s="21">
        <f>MIN(E82,MAX(0,'Premium Lookup'!$F$2-SUMIFS($E$1:E81,$A$1:A81,A82)))</f>
        <v>0</v>
      </c>
      <c r="G82" s="21">
        <f t="shared" si="2"/>
        <v>79.290000000000006</v>
      </c>
    </row>
    <row r="83" spans="1:7" x14ac:dyDescent="0.35">
      <c r="A83" s="3" t="s">
        <v>60</v>
      </c>
      <c r="B83" s="3" t="s">
        <v>8</v>
      </c>
      <c r="C83" s="3" t="s">
        <v>19</v>
      </c>
      <c r="D83" s="3" t="s">
        <v>6</v>
      </c>
      <c r="E83" s="11">
        <v>15.42</v>
      </c>
      <c r="F83" s="21">
        <f>MIN(E83,MAX(0,'Premium Lookup'!$F$2-SUMIFS($E$1:E82,$A$1:A82,A83)))</f>
        <v>0</v>
      </c>
      <c r="G83" s="21">
        <f t="shared" si="2"/>
        <v>15.42</v>
      </c>
    </row>
    <row r="84" spans="1:7" x14ac:dyDescent="0.35">
      <c r="A84" s="2" t="s">
        <v>61</v>
      </c>
      <c r="B84" s="2" t="s">
        <v>5</v>
      </c>
      <c r="C84" s="2" t="s">
        <v>16</v>
      </c>
      <c r="D84" s="2" t="s">
        <v>10</v>
      </c>
      <c r="E84" s="11">
        <v>1398.05</v>
      </c>
      <c r="F84" s="21">
        <f>MIN(E84,MAX(0,'Premium Lookup'!$F$2-SUMIFS($E$1:E83,$A$1:A83,A84)))</f>
        <v>900</v>
      </c>
      <c r="G84" s="21">
        <f t="shared" si="2"/>
        <v>498.04999999999995</v>
      </c>
    </row>
    <row r="85" spans="1:7" x14ac:dyDescent="0.35">
      <c r="A85" s="3" t="s">
        <v>61</v>
      </c>
      <c r="B85" s="3" t="s">
        <v>7</v>
      </c>
      <c r="C85" s="3" t="s">
        <v>18</v>
      </c>
      <c r="D85" s="3" t="s">
        <v>10</v>
      </c>
      <c r="E85" s="11">
        <v>164.06</v>
      </c>
      <c r="F85" s="21">
        <f>MIN(E85,MAX(0,'Premium Lookup'!$F$2-SUMIFS($E$1:E84,$A$1:A84,A85)))</f>
        <v>0</v>
      </c>
      <c r="G85" s="21">
        <f t="shared" si="2"/>
        <v>164.06</v>
      </c>
    </row>
    <row r="86" spans="1:7" x14ac:dyDescent="0.35">
      <c r="A86" s="2" t="s">
        <v>61</v>
      </c>
      <c r="B86" s="2" t="s">
        <v>8</v>
      </c>
      <c r="C86" s="2" t="s">
        <v>19</v>
      </c>
      <c r="D86" s="2" t="s">
        <v>10</v>
      </c>
      <c r="E86" s="11">
        <v>27.18</v>
      </c>
      <c r="F86" s="21">
        <f>MIN(E86,MAX(0,'Premium Lookup'!$F$2-SUMIFS($E$1:E85,$A$1:A85,A86)))</f>
        <v>0</v>
      </c>
      <c r="G86" s="21">
        <f t="shared" si="2"/>
        <v>27.18</v>
      </c>
    </row>
    <row r="87" spans="1:7" x14ac:dyDescent="0.35">
      <c r="A87" s="3" t="s">
        <v>62</v>
      </c>
      <c r="B87" s="3" t="s">
        <v>5</v>
      </c>
      <c r="C87" s="3" t="s">
        <v>15</v>
      </c>
      <c r="D87" s="3" t="s">
        <v>6</v>
      </c>
      <c r="E87" s="11">
        <v>1093.92</v>
      </c>
      <c r="F87" s="21">
        <f>MIN(E87,MAX(0,'Premium Lookup'!$F$2-SUMIFS($E$1:E86,$A$1:A86,A87)))</f>
        <v>900</v>
      </c>
      <c r="G87" s="21">
        <f t="shared" si="2"/>
        <v>193.92000000000007</v>
      </c>
    </row>
    <row r="88" spans="1:7" x14ac:dyDescent="0.35">
      <c r="A88" s="2" t="s">
        <v>62</v>
      </c>
      <c r="B88" s="2" t="s">
        <v>7</v>
      </c>
      <c r="C88" s="2" t="s">
        <v>18</v>
      </c>
      <c r="D88" s="2" t="s">
        <v>6</v>
      </c>
      <c r="E88" s="11">
        <v>79.290000000000006</v>
      </c>
      <c r="F88" s="21">
        <f>MIN(E88,MAX(0,'Premium Lookup'!$F$2-SUMIFS($E$1:E87,$A$1:A87,A88)))</f>
        <v>0</v>
      </c>
      <c r="G88" s="21">
        <f t="shared" si="2"/>
        <v>79.290000000000006</v>
      </c>
    </row>
    <row r="89" spans="1:7" x14ac:dyDescent="0.35">
      <c r="A89" s="3" t="s">
        <v>62</v>
      </c>
      <c r="B89" s="3" t="s">
        <v>8</v>
      </c>
      <c r="C89" s="3" t="s">
        <v>19</v>
      </c>
      <c r="D89" s="3" t="s">
        <v>6</v>
      </c>
      <c r="E89" s="11">
        <v>15.42</v>
      </c>
      <c r="F89" s="21">
        <f>MIN(E89,MAX(0,'Premium Lookup'!$F$2-SUMIFS($E$1:E88,$A$1:A88,A89)))</f>
        <v>0</v>
      </c>
      <c r="G89" s="21">
        <f t="shared" si="2"/>
        <v>15.42</v>
      </c>
    </row>
    <row r="90" spans="1:7" x14ac:dyDescent="0.35">
      <c r="A90" s="2" t="s">
        <v>63</v>
      </c>
      <c r="B90" s="2" t="s">
        <v>7</v>
      </c>
      <c r="C90" s="2" t="s">
        <v>18</v>
      </c>
      <c r="D90" s="2" t="s">
        <v>10</v>
      </c>
      <c r="E90" s="11">
        <v>164.06</v>
      </c>
      <c r="F90" s="21">
        <f>MIN(E90,MAX(0,'Premium Lookup'!$F$2-SUMIFS($E$1:E89,$A$1:A89,A90)))</f>
        <v>164.06</v>
      </c>
      <c r="G90" s="21">
        <f t="shared" si="2"/>
        <v>0</v>
      </c>
    </row>
    <row r="91" spans="1:7" x14ac:dyDescent="0.35">
      <c r="A91" s="3" t="s">
        <v>64</v>
      </c>
      <c r="B91" s="3" t="s">
        <v>7</v>
      </c>
      <c r="C91" s="3" t="s">
        <v>18</v>
      </c>
      <c r="D91" s="3" t="s">
        <v>11</v>
      </c>
      <c r="E91" s="11">
        <v>39.76</v>
      </c>
      <c r="F91" s="21">
        <f>MIN(E91,MAX(0,'Premium Lookup'!$F$2-SUMIFS($E$1:E90,$A$1:A90,A91)))</f>
        <v>39.76</v>
      </c>
      <c r="G91" s="21">
        <f t="shared" si="2"/>
        <v>0</v>
      </c>
    </row>
    <row r="92" spans="1:7" x14ac:dyDescent="0.35">
      <c r="A92" s="2" t="s">
        <v>64</v>
      </c>
      <c r="B92" s="2" t="s">
        <v>8</v>
      </c>
      <c r="C92" s="2" t="s">
        <v>19</v>
      </c>
      <c r="D92" s="2" t="s">
        <v>11</v>
      </c>
      <c r="E92" s="11">
        <v>7.71</v>
      </c>
      <c r="F92" s="21">
        <f>MIN(E92,MAX(0,'Premium Lookup'!$F$2-SUMIFS($E$1:E91,$A$1:A91,A92)))</f>
        <v>7.71</v>
      </c>
      <c r="G92" s="21">
        <f t="shared" si="2"/>
        <v>0</v>
      </c>
    </row>
    <row r="93" spans="1:7" x14ac:dyDescent="0.35">
      <c r="A93" t="s">
        <v>65</v>
      </c>
      <c r="B93" t="s">
        <v>7</v>
      </c>
      <c r="C93" t="s">
        <v>18</v>
      </c>
      <c r="D93" t="s">
        <v>11</v>
      </c>
      <c r="E93" s="11">
        <f>SUMIFS('Premium Lookup'!$C$2:$C$25,'Premium Lookup'!$A$2:$A$25,C93,'Premium Lookup'!$B$2:$B$25,D93)</f>
        <v>39.76</v>
      </c>
      <c r="F93" s="21">
        <f>MIN(E93,MAX(0,'Premium Lookup'!$F$2-SUMIFS($E$1:E92,$A$1:A92,A93)))</f>
        <v>39.76</v>
      </c>
      <c r="G93" s="21">
        <f t="shared" si="2"/>
        <v>0</v>
      </c>
    </row>
    <row r="94" spans="1:7" x14ac:dyDescent="0.35">
      <c r="A94" t="s">
        <v>65</v>
      </c>
      <c r="B94" t="s">
        <v>8</v>
      </c>
      <c r="C94" t="s">
        <v>19</v>
      </c>
      <c r="D94" t="s">
        <v>11</v>
      </c>
      <c r="E94" s="11">
        <f>SUMIFS('Premium Lookup'!$C$2:$C$25,'Premium Lookup'!$A$2:$A$25,C94,'Premium Lookup'!$B$2:$B$25,D94)</f>
        <v>7.71</v>
      </c>
      <c r="F94" s="21">
        <f>MIN(E94,MAX(0,'Premium Lookup'!$F$2-SUMIFS($E$1:E93,$A$1:A93,A94)))</f>
        <v>7.71</v>
      </c>
      <c r="G94" s="21">
        <f t="shared" si="2"/>
        <v>0</v>
      </c>
    </row>
    <row r="95" spans="1:7" x14ac:dyDescent="0.35">
      <c r="A95" t="s">
        <v>66</v>
      </c>
      <c r="B95" t="s">
        <v>7</v>
      </c>
      <c r="C95" t="s">
        <v>18</v>
      </c>
      <c r="D95" t="s">
        <v>10</v>
      </c>
      <c r="E95" s="11">
        <f>SUMIFS('Premium Lookup'!$C$2:$C$25,'Premium Lookup'!$A$2:$A$25,C95,'Premium Lookup'!$B$2:$B$25,D95)</f>
        <v>164.06</v>
      </c>
      <c r="F95" s="21">
        <f>MIN(E95,MAX(0,'Premium Lookup'!$F$2-SUMIFS($E$1:E94,$A$1:A94,A95)))</f>
        <v>164.06</v>
      </c>
      <c r="G95" s="21">
        <f t="shared" si="2"/>
        <v>0</v>
      </c>
    </row>
    <row r="96" spans="1:7" x14ac:dyDescent="0.35">
      <c r="A96" t="s">
        <v>66</v>
      </c>
      <c r="B96" t="s">
        <v>8</v>
      </c>
      <c r="C96" t="s">
        <v>19</v>
      </c>
      <c r="D96" t="s">
        <v>10</v>
      </c>
      <c r="E96" s="11">
        <f>SUMIFS('Premium Lookup'!$C$2:$C$25,'Premium Lookup'!$A$2:$A$25,C96,'Premium Lookup'!$B$2:$B$25,D96)</f>
        <v>27.18</v>
      </c>
      <c r="F96" s="21">
        <f>MIN(E96,MAX(0,'Premium Lookup'!$F$2-SUMIFS($E$1:E95,$A$1:A95,A96)))</f>
        <v>27.18</v>
      </c>
      <c r="G96" s="21">
        <f t="shared" si="2"/>
        <v>0</v>
      </c>
    </row>
    <row r="97" spans="5:7" x14ac:dyDescent="0.35">
      <c r="E97" s="22">
        <f>SUM(E2:E96)</f>
        <v>28712.759999999987</v>
      </c>
      <c r="F97" s="22">
        <f t="shared" ref="F97:G97" si="3">SUM(F2:F96)</f>
        <v>21580.489999999994</v>
      </c>
      <c r="G97" s="22">
        <f t="shared" si="3"/>
        <v>7132.2700000000041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5"/>
  <sheetViews>
    <sheetView showGridLines="0" workbookViewId="0"/>
  </sheetViews>
  <sheetFormatPr defaultRowHeight="14.5" x14ac:dyDescent="0.35"/>
  <cols>
    <col min="1" max="1" width="42" customWidth="1"/>
    <col min="2" max="2" width="24" customWidth="1"/>
    <col min="3" max="3" width="18" customWidth="1"/>
    <col min="5" max="5" width="24" customWidth="1"/>
    <col min="6" max="6" width="14" customWidth="1"/>
  </cols>
  <sheetData>
    <row r="1" spans="1:6" x14ac:dyDescent="0.35">
      <c r="A1" s="12" t="s">
        <v>13</v>
      </c>
      <c r="B1" s="12" t="s">
        <v>2</v>
      </c>
      <c r="C1" s="12" t="s">
        <v>67</v>
      </c>
      <c r="E1" s="19" t="s">
        <v>68</v>
      </c>
      <c r="F1" s="19" t="s">
        <v>69</v>
      </c>
    </row>
    <row r="2" spans="1:6" x14ac:dyDescent="0.35">
      <c r="A2" s="13" t="s">
        <v>15</v>
      </c>
      <c r="B2" s="13" t="s">
        <v>11</v>
      </c>
      <c r="C2" s="14">
        <v>541.86</v>
      </c>
      <c r="E2" s="23" t="s">
        <v>70</v>
      </c>
      <c r="F2" s="14">
        <v>900</v>
      </c>
    </row>
    <row r="3" spans="1:6" x14ac:dyDescent="0.35">
      <c r="A3" s="13" t="s">
        <v>15</v>
      </c>
      <c r="B3" s="13" t="s">
        <v>6</v>
      </c>
      <c r="C3" s="14">
        <v>1093.92</v>
      </c>
    </row>
    <row r="4" spans="1:6" x14ac:dyDescent="0.35">
      <c r="A4" s="13" t="s">
        <v>15</v>
      </c>
      <c r="B4" s="13" t="s">
        <v>9</v>
      </c>
      <c r="C4" s="14">
        <v>933.5</v>
      </c>
    </row>
    <row r="5" spans="1:6" x14ac:dyDescent="0.35">
      <c r="A5" s="13" t="s">
        <v>15</v>
      </c>
      <c r="B5" s="13" t="s">
        <v>10</v>
      </c>
      <c r="C5" s="14">
        <v>1545.59</v>
      </c>
    </row>
    <row r="6" spans="1:6" x14ac:dyDescent="0.35">
      <c r="A6" s="13" t="s">
        <v>17</v>
      </c>
      <c r="B6" s="13" t="s">
        <v>11</v>
      </c>
      <c r="C6" s="14">
        <v>541.86</v>
      </c>
    </row>
    <row r="7" spans="1:6" x14ac:dyDescent="0.35">
      <c r="A7" s="13" t="s">
        <v>17</v>
      </c>
      <c r="B7" s="13" t="s">
        <v>6</v>
      </c>
      <c r="C7" s="14">
        <v>1093.92</v>
      </c>
    </row>
    <row r="8" spans="1:6" x14ac:dyDescent="0.35">
      <c r="A8" s="13" t="s">
        <v>17</v>
      </c>
      <c r="B8" s="13" t="s">
        <v>9</v>
      </c>
      <c r="C8" s="14">
        <v>933.5</v>
      </c>
    </row>
    <row r="9" spans="1:6" x14ac:dyDescent="0.35">
      <c r="A9" s="13" t="s">
        <v>17</v>
      </c>
      <c r="B9" s="13" t="s">
        <v>10</v>
      </c>
      <c r="C9" s="14">
        <v>1545.59</v>
      </c>
    </row>
    <row r="10" spans="1:6" x14ac:dyDescent="0.35">
      <c r="A10" s="13" t="s">
        <v>16</v>
      </c>
      <c r="B10" s="13" t="s">
        <v>11</v>
      </c>
      <c r="C10" s="14">
        <v>492.26</v>
      </c>
    </row>
    <row r="11" spans="1:6" x14ac:dyDescent="0.35">
      <c r="A11" s="13" t="s">
        <v>16</v>
      </c>
      <c r="B11" s="13" t="s">
        <v>6</v>
      </c>
      <c r="C11" s="14">
        <v>990.64</v>
      </c>
    </row>
    <row r="12" spans="1:6" x14ac:dyDescent="0.35">
      <c r="A12" s="13" t="s">
        <v>16</v>
      </c>
      <c r="B12" s="13" t="s">
        <v>9</v>
      </c>
      <c r="C12" s="14">
        <v>900.1</v>
      </c>
    </row>
    <row r="13" spans="1:6" x14ac:dyDescent="0.35">
      <c r="A13" s="13" t="s">
        <v>16</v>
      </c>
      <c r="B13" s="13" t="s">
        <v>10</v>
      </c>
      <c r="C13" s="14">
        <v>1398.05</v>
      </c>
    </row>
    <row r="14" spans="1:6" x14ac:dyDescent="0.35">
      <c r="A14" s="13" t="s">
        <v>18</v>
      </c>
      <c r="B14" s="13" t="s">
        <v>11</v>
      </c>
      <c r="C14" s="14">
        <v>39.76</v>
      </c>
    </row>
    <row r="15" spans="1:6" x14ac:dyDescent="0.35">
      <c r="A15" s="13" t="s">
        <v>18</v>
      </c>
      <c r="B15" s="13" t="s">
        <v>6</v>
      </c>
      <c r="C15" s="14">
        <v>79.290000000000006</v>
      </c>
    </row>
    <row r="16" spans="1:6" x14ac:dyDescent="0.35">
      <c r="A16" s="13" t="s">
        <v>18</v>
      </c>
      <c r="B16" s="13" t="s">
        <v>9</v>
      </c>
      <c r="C16" s="14">
        <v>106.06</v>
      </c>
    </row>
    <row r="17" spans="1:3" x14ac:dyDescent="0.35">
      <c r="A17" s="13" t="s">
        <v>18</v>
      </c>
      <c r="B17" s="13" t="s">
        <v>10</v>
      </c>
      <c r="C17" s="14">
        <v>164.06</v>
      </c>
    </row>
    <row r="18" spans="1:3" x14ac:dyDescent="0.35">
      <c r="A18" s="13" t="s">
        <v>19</v>
      </c>
      <c r="B18" s="13" t="s">
        <v>11</v>
      </c>
      <c r="C18" s="14">
        <v>7.71</v>
      </c>
    </row>
    <row r="19" spans="1:3" x14ac:dyDescent="0.35">
      <c r="A19" s="13" t="s">
        <v>19</v>
      </c>
      <c r="B19" s="13" t="s">
        <v>6</v>
      </c>
      <c r="C19" s="14">
        <v>15.42</v>
      </c>
    </row>
    <row r="20" spans="1:3" x14ac:dyDescent="0.35">
      <c r="A20" s="13" t="s">
        <v>19</v>
      </c>
      <c r="B20" s="13" t="s">
        <v>9</v>
      </c>
      <c r="C20" s="14">
        <v>17.43</v>
      </c>
    </row>
    <row r="21" spans="1:3" x14ac:dyDescent="0.35">
      <c r="A21" s="13" t="s">
        <v>19</v>
      </c>
      <c r="B21" s="13" t="s">
        <v>10</v>
      </c>
      <c r="C21" s="14">
        <v>27.18</v>
      </c>
    </row>
    <row r="22" spans="1:3" x14ac:dyDescent="0.35">
      <c r="A22" s="13" t="s">
        <v>20</v>
      </c>
      <c r="B22" s="13" t="s">
        <v>11</v>
      </c>
      <c r="C22" s="14">
        <v>870</v>
      </c>
    </row>
    <row r="23" spans="1:3" x14ac:dyDescent="0.35">
      <c r="A23" s="13" t="s">
        <v>20</v>
      </c>
      <c r="B23" s="13" t="s">
        <v>6</v>
      </c>
      <c r="C23" s="14"/>
    </row>
    <row r="24" spans="1:3" x14ac:dyDescent="0.35">
      <c r="A24" s="13" t="s">
        <v>20</v>
      </c>
      <c r="B24" s="13" t="s">
        <v>9</v>
      </c>
      <c r="C24" s="14"/>
    </row>
    <row r="25" spans="1:3" x14ac:dyDescent="0.35">
      <c r="A25" s="13" t="s">
        <v>20</v>
      </c>
      <c r="B25" s="13" t="s">
        <v>10</v>
      </c>
      <c r="C25" s="14">
        <v>2470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Enrollment Summary</vt:lpstr>
      <vt:lpstr>Enrollments</vt:lpstr>
      <vt:lpstr>Premium 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Julio Padilla</cp:lastModifiedBy>
  <dcterms:modified xsi:type="dcterms:W3CDTF">2026-09-14T17:43:14Z</dcterms:modified>
</cp:coreProperties>
</file>